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mc:AlternateContent xmlns:mc="http://schemas.openxmlformats.org/markup-compatibility/2006">
    <mc:Choice Requires="x15">
      <x15ac:absPath xmlns:x15ac="http://schemas.microsoft.com/office/spreadsheetml/2010/11/ac" url="/Users/yangwenbo/Desktop/对标模版/"/>
    </mc:Choice>
  </mc:AlternateContent>
  <xr:revisionPtr revIDLastSave="0" documentId="13_ncr:1_{2FE0D03A-C2ED-B640-BE25-A1B06B8F6F84}" xr6:coauthVersionLast="47" xr6:coauthVersionMax="47" xr10:uidLastSave="{00000000-0000-0000-0000-000000000000}"/>
  <bookViews>
    <workbookView xWindow="0" yWindow="720" windowWidth="29400" windowHeight="18400" xr2:uid="{00000000-000D-0000-FFFF-FFFF00000000}"/>
  </bookViews>
  <sheets>
    <sheet name="Sheet1" sheetId="1" r:id="rId1"/>
    <sheet name="Sheet2" sheetId="2" r:id="rId2"/>
  </sheets>
  <externalReferences>
    <externalReference r:id="rId3"/>
  </externalReferenc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8" i="2" l="1"/>
  <c r="F7" i="2"/>
  <c r="G2" i="2"/>
  <c r="E3" i="2"/>
  <c r="E4" i="2"/>
  <c r="E5" i="2"/>
  <c r="E6" i="2"/>
  <c r="E7" i="2"/>
  <c r="E8" i="2"/>
  <c r="D3" i="2"/>
  <c r="D4" i="2"/>
  <c r="D5" i="2"/>
  <c r="D6" i="2"/>
  <c r="D7" i="2"/>
  <c r="D8" i="2"/>
  <c r="C3" i="2"/>
  <c r="C4" i="2"/>
  <c r="C5" i="2"/>
  <c r="C6" i="2"/>
  <c r="C7" i="2"/>
  <c r="C8" i="2"/>
  <c r="B8" i="2"/>
  <c r="A8" i="2"/>
  <c r="A9" i="1"/>
  <c r="D9" i="1"/>
  <c r="C9" i="1"/>
  <c r="B7" i="2"/>
  <c r="A7" i="2"/>
  <c r="A6" i="1"/>
  <c r="A7" i="1"/>
  <c r="A8" i="1"/>
  <c r="D6" i="1"/>
  <c r="D7" i="1"/>
  <c r="D8" i="1"/>
  <c r="C6" i="1"/>
  <c r="C7" i="1"/>
  <c r="C8" i="1"/>
  <c r="E2" i="2"/>
  <c r="F4" i="2"/>
  <c r="D2" i="2"/>
  <c r="C2" i="2"/>
  <c r="B2" i="2"/>
  <c r="A5" i="2"/>
  <c r="A6" i="2"/>
  <c r="B3" i="2"/>
  <c r="B4" i="2"/>
  <c r="B5" i="2"/>
  <c r="B6" i="2"/>
  <c r="A2" i="2"/>
  <c r="A3" i="2"/>
  <c r="A4" i="2"/>
  <c r="C5" i="1"/>
  <c r="D5" i="1" s="1"/>
  <c r="A5" i="1"/>
  <c r="C4" i="1"/>
  <c r="D4" i="1" s="1"/>
  <c r="A4" i="1"/>
  <c r="C3" i="1"/>
  <c r="D3" i="1" s="1"/>
  <c r="A3" i="1"/>
  <c r="D2" i="1"/>
  <c r="F3" i="2" l="1"/>
  <c r="F5" i="2"/>
  <c r="F6" i="2"/>
  <c r="F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<sst xmlns="http://schemas.openxmlformats.org/spreadsheetml/2006/main" count="71" uniqueCount="66">
  <si>
    <t>logo</t>
  </si>
  <si>
    <t>ticker</t>
  </si>
  <si>
    <t>API</t>
  </si>
  <si>
    <t>company_name</t>
  </si>
  <si>
    <t>latest_price</t>
  </si>
  <si>
    <t>market_cap</t>
  </si>
  <si>
    <t>pe_ttm</t>
  </si>
  <si>
    <t>ps_ttm</t>
  </si>
  <si>
    <t>ipo_date</t>
  </si>
  <si>
    <t>ipo_fund</t>
  </si>
  <si>
    <t>revenue_2024</t>
  </si>
  <si>
    <t>profit_2024</t>
  </si>
  <si>
    <t>company_intro</t>
  </si>
  <si>
    <t>funding_2020</t>
  </si>
  <si>
    <t>funding_2021</t>
  </si>
  <si>
    <t>funding_2022</t>
  </si>
  <si>
    <t>funding_2023</t>
  </si>
  <si>
    <t>funding_2024</t>
  </si>
  <si>
    <t>证券代码</t>
  </si>
  <si>
    <t>pk_FJ9NGdqpQP-_T1hBQT4O5A</t>
  </si>
  <si>
    <t>证券简称</t>
  </si>
  <si>
    <t>最新收盘价</t>
  </si>
  <si>
    <t>总市值1
[交易日期] 最新收盘日
[币种] 美元
[单位] 亿元</t>
  </si>
  <si>
    <t>市盈率PE(TTM)
[交易日期] 最新收盘日
[单位] 倍</t>
  </si>
  <si>
    <t>市销率PS(TTM)
[交易日期] 最新收盘日</t>
  </si>
  <si>
    <t>上市日期</t>
  </si>
  <si>
    <t>首发募集资金
[币种] 原始币种
[单位] 亿元</t>
  </si>
  <si>
    <t>公司简介</t>
  </si>
  <si>
    <t>发行方式</t>
  </si>
  <si>
    <t>筹资活动产生的现金流量净额
[报告期] 2020年报
[报表类型] 合并报表
[币种] 美元
[单位] 亿元</t>
  </si>
  <si>
    <t>筹资活动产生的现金流量净额
[报告期] 2021年报
[报表类型] 合并报表
[币种] 美元
[单位] 亿元</t>
  </si>
  <si>
    <t>筹资活动产生的现金流量净额
[报告期] 2022年报
[报表类型] 合并报表
[币种] 美元
[单位] 亿元</t>
  </si>
  <si>
    <t>筹资活动产生的现金流量净额
[报告期] 2023年报
[报表类型] 合并报表
[币种] 美元
[单位] 亿元</t>
  </si>
  <si>
    <t>筹资活动产生的现金流量净额
[报告期] 2024年报
[报表类型] 合并报表
[币种] 美元
[单位] 亿元</t>
  </si>
  <si>
    <t>是否SPAC上市</t>
  </si>
  <si>
    <t>公开发售</t>
  </si>
  <si>
    <t>最新市值（亿）</t>
  </si>
  <si>
    <t>PE TTM</t>
  </si>
  <si>
    <t>Ps TTM</t>
    <phoneticPr fontId="6" type="noConversion"/>
  </si>
  <si>
    <r>
      <rPr>
        <sz val="10"/>
        <color rgb="FF000000"/>
        <rFont val="Microsoft YaHei"/>
        <family val="2"/>
        <charset val="134"/>
      </rPr>
      <t>营业收入</t>
    </r>
    <r>
      <rPr>
        <sz val="10"/>
        <color rgb="FF000000"/>
        <rFont val="Arial"/>
        <family val="2"/>
      </rPr>
      <t xml:space="preserve">
[</t>
    </r>
    <r>
      <rPr>
        <sz val="10"/>
        <color rgb="FF000000"/>
        <rFont val="Microsoft YaHei"/>
        <family val="2"/>
        <charset val="134"/>
      </rPr>
      <t>报告期</t>
    </r>
    <r>
      <rPr>
        <sz val="10"/>
        <color rgb="FF000000"/>
        <rFont val="Arial"/>
        <family val="2"/>
      </rPr>
      <t>] 2025</t>
    </r>
    <r>
      <rPr>
        <sz val="10"/>
        <color rgb="FF000000"/>
        <rFont val="Microsoft YaHei"/>
        <family val="2"/>
        <charset val="134"/>
      </rPr>
      <t>年报</t>
    </r>
    <r>
      <rPr>
        <sz val="10"/>
        <color rgb="FF000000"/>
        <rFont val="Arial"/>
        <family val="2"/>
      </rPr>
      <t xml:space="preserve">
[</t>
    </r>
    <r>
      <rPr>
        <sz val="10"/>
        <color rgb="FF000000"/>
        <rFont val="Microsoft YaHei"/>
        <family val="2"/>
        <charset val="134"/>
      </rPr>
      <t>报表类型</t>
    </r>
    <r>
      <rPr>
        <sz val="10"/>
        <color rgb="FF000000"/>
        <rFont val="Arial"/>
        <family val="2"/>
      </rPr>
      <t xml:space="preserve">] </t>
    </r>
    <r>
      <rPr>
        <sz val="10"/>
        <color rgb="FF000000"/>
        <rFont val="Microsoft YaHei"/>
        <family val="2"/>
        <charset val="134"/>
      </rPr>
      <t>合并报表</t>
    </r>
    <r>
      <rPr>
        <sz val="10"/>
        <color rgb="FF000000"/>
        <rFont val="Arial"/>
        <family val="2"/>
      </rPr>
      <t xml:space="preserve">
[</t>
    </r>
    <r>
      <rPr>
        <sz val="10"/>
        <color rgb="FF000000"/>
        <rFont val="Microsoft YaHei"/>
        <family val="2"/>
        <charset val="134"/>
      </rPr>
      <t>币种</t>
    </r>
    <r>
      <rPr>
        <sz val="10"/>
        <color rgb="FF000000"/>
        <rFont val="Arial"/>
        <family val="2"/>
      </rPr>
      <t xml:space="preserve">] </t>
    </r>
    <r>
      <rPr>
        <sz val="10"/>
        <color rgb="FF000000"/>
        <rFont val="Microsoft YaHei"/>
        <family val="2"/>
        <charset val="134"/>
      </rPr>
      <t>美元</t>
    </r>
    <r>
      <rPr>
        <sz val="10"/>
        <color rgb="FF000000"/>
        <rFont val="Arial"/>
        <family val="2"/>
      </rPr>
      <t xml:space="preserve">
[</t>
    </r>
    <r>
      <rPr>
        <sz val="10"/>
        <color rgb="FF000000"/>
        <rFont val="Microsoft YaHei"/>
        <family val="2"/>
        <charset val="134"/>
      </rPr>
      <t>单位</t>
    </r>
    <r>
      <rPr>
        <sz val="10"/>
        <color rgb="FF000000"/>
        <rFont val="Arial"/>
        <family val="2"/>
      </rPr>
      <t xml:space="preserve">] </t>
    </r>
    <r>
      <rPr>
        <sz val="10"/>
        <color rgb="FF000000"/>
        <rFont val="Microsoft YaHei"/>
        <family val="2"/>
        <charset val="134"/>
      </rPr>
      <t>亿元</t>
    </r>
    <phoneticPr fontId="6" type="noConversion"/>
  </si>
  <si>
    <r>
      <rPr>
        <sz val="10"/>
        <color rgb="FF000000"/>
        <rFont val="Microsoft YaHei"/>
        <family val="2"/>
        <charset val="134"/>
      </rPr>
      <t>净利润</t>
    </r>
    <r>
      <rPr>
        <sz val="10"/>
        <color rgb="FF000000"/>
        <rFont val="Arial"/>
        <family val="2"/>
      </rPr>
      <t xml:space="preserve">
[</t>
    </r>
    <r>
      <rPr>
        <sz val="10"/>
        <color rgb="FF000000"/>
        <rFont val="Microsoft YaHei"/>
        <family val="2"/>
        <charset val="134"/>
      </rPr>
      <t>报告期</t>
    </r>
    <r>
      <rPr>
        <sz val="10"/>
        <color rgb="FF000000"/>
        <rFont val="Arial"/>
        <family val="2"/>
      </rPr>
      <t>] 2025</t>
    </r>
    <r>
      <rPr>
        <sz val="10"/>
        <color rgb="FF000000"/>
        <rFont val="Microsoft YaHei"/>
        <family val="2"/>
        <charset val="134"/>
      </rPr>
      <t>年报</t>
    </r>
    <r>
      <rPr>
        <sz val="10"/>
        <color rgb="FF000000"/>
        <rFont val="Arial"/>
        <family val="2"/>
      </rPr>
      <t xml:space="preserve">
[</t>
    </r>
    <r>
      <rPr>
        <sz val="10"/>
        <color rgb="FF000000"/>
        <rFont val="Microsoft YaHei"/>
        <family val="2"/>
        <charset val="134"/>
      </rPr>
      <t>报表类型</t>
    </r>
    <r>
      <rPr>
        <sz val="10"/>
        <color rgb="FF000000"/>
        <rFont val="Arial"/>
        <family val="2"/>
      </rPr>
      <t xml:space="preserve">] </t>
    </r>
    <r>
      <rPr>
        <sz val="10"/>
        <color rgb="FF000000"/>
        <rFont val="Microsoft YaHei"/>
        <family val="2"/>
        <charset val="134"/>
      </rPr>
      <t>合并报表</t>
    </r>
    <r>
      <rPr>
        <sz val="10"/>
        <color rgb="FF000000"/>
        <rFont val="Arial"/>
        <family val="2"/>
      </rPr>
      <t xml:space="preserve">
[</t>
    </r>
    <r>
      <rPr>
        <sz val="10"/>
        <color rgb="FF000000"/>
        <rFont val="Microsoft YaHei"/>
        <family val="2"/>
        <charset val="134"/>
      </rPr>
      <t>币种</t>
    </r>
    <r>
      <rPr>
        <sz val="10"/>
        <color rgb="FF000000"/>
        <rFont val="Arial"/>
        <family val="2"/>
      </rPr>
      <t xml:space="preserve">] </t>
    </r>
    <r>
      <rPr>
        <sz val="10"/>
        <color rgb="FF000000"/>
        <rFont val="Microsoft YaHei"/>
        <family val="2"/>
        <charset val="134"/>
      </rPr>
      <t>美元</t>
    </r>
    <r>
      <rPr>
        <sz val="10"/>
        <color rgb="FF000000"/>
        <rFont val="Arial"/>
        <family val="2"/>
      </rPr>
      <t xml:space="preserve">
[</t>
    </r>
    <r>
      <rPr>
        <sz val="10"/>
        <color rgb="FF000000"/>
        <rFont val="Microsoft YaHei"/>
        <family val="2"/>
        <charset val="134"/>
      </rPr>
      <t>单位</t>
    </r>
    <r>
      <rPr>
        <sz val="10"/>
        <color rgb="FF000000"/>
        <rFont val="Arial"/>
        <family val="2"/>
      </rPr>
      <t xml:space="preserve">] </t>
    </r>
    <r>
      <rPr>
        <sz val="10"/>
        <color rgb="FF000000"/>
        <rFont val="Microsoft YaHei"/>
        <family val="2"/>
        <charset val="134"/>
      </rPr>
      <t>亿元</t>
    </r>
    <phoneticPr fontId="6" type="noConversion"/>
  </si>
  <si>
    <r>
      <t>Pe</t>
    </r>
    <r>
      <rPr>
        <sz val="10"/>
        <rFont val="Microsoft YaHei"/>
        <family val="2"/>
        <charset val="134"/>
      </rPr>
      <t>平均值</t>
    </r>
    <phoneticPr fontId="6" type="noConversion"/>
  </si>
  <si>
    <t>pe平均值</t>
    <phoneticPr fontId="6" type="noConversion"/>
  </si>
  <si>
    <t>9690.HK</t>
  </si>
  <si>
    <t>3669.HK</t>
  </si>
  <si>
    <t>2473.HK</t>
  </si>
  <si>
    <t>300496.SZ</t>
  </si>
  <si>
    <t>002920.SZ</t>
  </si>
  <si>
    <t>CVNA.N</t>
  </si>
  <si>
    <t>途虎-W</t>
  </si>
  <si>
    <t>永达汽车</t>
  </si>
  <si>
    <t>喜相逢集团</t>
  </si>
  <si>
    <t>中科创达</t>
  </si>
  <si>
    <t>德赛西威</t>
  </si>
  <si>
    <t>CARVANA</t>
  </si>
  <si>
    <t>AN.N</t>
  </si>
  <si>
    <t>全美汽车租赁</t>
  </si>
  <si>
    <t>Carvana Co.是一家领先的电子商务平台，专注于买卖二手车。它通过提供广泛的选择、优惠的价格、优质的产品、透明的定价以及简单、无压力的交易体验来改变二手车的买卖方式。</t>
  </si>
  <si>
    <t>全美汽车租赁公司是一家美国最大的汽车零售商。截至2023年12月31日，全美汽车租赁公司拥有并经营着位于美国252个门店的349个新车特许经营权，主要位于太阳带地区的大都会市场。其门店销售34种不同的新车品牌。全美汽车租赁公司销售的新车核心品牌，占2023年全美汽车租赁公司销售的新车总数的约88%，是由丰田（包括雷克萨斯）、本田、福特、通用汽车、宝马、梅赛德斯-奔驰、斯泰兰蒂斯和大众（包括奥迪和保时捷）制造的。</t>
  </si>
  <si>
    <t>公司是国际领先的移动出行科技公司之一，致力于实现智慧出行的全球共享。公司深度聚焦于智能座舱、组合辅助驾驶和网联服务三大领域的高效融合，持续开发高度集成的智能硬件和领先的软件算法，为全球客户提供安全、愉悦和绿色的移动出行整体解决方案和服务。凭借39年来在设计、开发、生产过程中的深厚积淀，公司不断拓展自身在研发创新、客户服务、安全验证方面的综合实力，构筑从智慧出行到智慧交通的技术链路，积极应对汽车行业在新四化趋势下的挑战，满足汽车厂商对不同产品组合及业务开发模式的多元需求。为驾乘者提供卓越的出行体验的同时，也给未来出行带来更多想象空间。公司积极响应全球碳中和战略，从经济、社会、环境三个维度出发，推动落实安全可靠、成长共赢、绿色环保三大可持续发展目标。在回馈社会的同时，尊重公司每一位员工，为雇员打造多元共生的工作环境和高能成长的发展平台。我们鼓励全球各分部之间平等开放、协同发展，公司人秉承同一使命，共赴一致目标——创领安全、愉悦和绿色的出行生活。</t>
  </si>
  <si>
    <t>公司是全球领先的智能平台技术提供商。自2008年成立以来，公司致力于提供卓越的智能终端操作系统平台技术及解决方案，助力并加速智能手机、智能物联网、智能汽车等领域的产品化与技术创新。源于多年在Android、Linux、Windows和HTML5等操作系统技术的研发与创新，中科创达形成了从硬件驱动、操作系统内核、中间件到上层应用全面的技术体系。积累了丰富的研发经验和众多自有知识产权，具备强有力的技术开发和服务能力。核心技术涵盖了通信协议栈、深度学习、图形图像算法、操作系统优化和安全技术等多个方面。中科创达与智能终端产业链中的芯片、元器件、终端、软件与互联网厂商以及运营商等全球领先企业拥有紧密的合作关系，具有独特的垂直整合优势。</t>
  </si>
  <si>
    <t>公司是中国领先的线上线下一体化汽车服务平台之一。截至2023年3月31日，公司的旗舰应用程序「途虎养车」和线上界面拥有100.2百万名注册用户。截至2023年3月31日止最近十二个月，公司拥有17.1百万名交易用户，较截至2022年3月31日止同期的15.5百万名增加9.9%。根据灼识咨询报告，截至2023年3月31日止三个月，公司的平均月活跃用户达到10.2百万名，公司的平台成为中国汽车服务供应商聚集的最大车主社区。公司的服务网络不断扩张，在全国拥有超过4,700家途虎工场店和超过19,000家合作门店，覆盖大部分地级市。公司有三种不同类型的门店，包括公司的自营途虎工场店、加盟途虎工场店和第三方合作门店。加盟途虎工场店采用与自营途虎工场店相同的标准及我们的专有技术系统运营。公司在中国各地亦有大量的合作门店，其主要向通过线上界面下达订单的客户提供安装服务，作为途虎工场店的补充。根据灼识咨询报告，就所运营汽车服务门店数目及品牌认知度而言，途虎为中国领先的独立汽车服务品牌。平台服务在中国销售的大多数乘用车车型，满足从轮胎和底盘零部件更换到汽车保养、维修、汽车美容等汽车服务需求。</t>
  </si>
  <si>
    <t>发售以供认购,发售以供配售</t>
  </si>
  <si>
    <t>中国永达汽车服务控股有限公司是一家主要从事汽车销售，提供售后服务、提供汽车经营租赁服务，以及分销汽车保险产品和汽车金融产品的公司。该公司通过两个分部开展业务。乘用车销售及服务分部从事乘用车销售、提供售后服务，主要包括维修及保养服务、若干乘用车销售相关配套服务及提供乘用车相关其他服务。汽车经营租赁服务分部从事汽车经营性出租。该公司主要在国内市场经营其业务。</t>
  </si>
  <si>
    <t>发售以供认购,发售以供配售,发售现有证券</t>
  </si>
  <si>
    <t>喜相逢集团控股有限公司是一家主要提供汽车服务，包括汽车零售、汽车融资、汽车租赁及汽车相关服务的公司。该公司主营三项业务。喜相逢集团控股有限公司是一家主要提供汽车服务，包括汽车零售、汽车融资、汽车租赁及汽车相关服务的公司。融资租赁收入业务主要向个人客户提供汽车融资租赁服务。汽车租赁业务向个人及企业客户提供汽车经营租赁服务。其他汽车相关业务爲汽车用户营运汽车售后服务平台，以促成第三方供应商于汽车使用生命周期内向汽车用家提供售后使用解决方案。该公司产品销往国内市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</si>
</sst>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81" formatCode="0.00_ "/>
    <numFmt numFmtId="182" formatCode="yyyy\-mm\-dd"/>
    <numFmt numFmtId="184" formatCode="0.00\x"/>
    <numFmt numFmtId="185" formatCode="#,##0.0000"/>
    <numFmt numFmtId="190" formatCode="#,##0.00_ "/>
    <numFmt numFmtId="191" formatCode="0.00_);[Red]\(0.00\)"/>
  </numFmts>
  <fonts count="11">
    <font>
      <sz val="11"/>
      <color theme="1"/>
      <name val="宋体"/>
      <charset val="134"/>
      <scheme val="minor"/>
    </font>
    <font>
      <sz val="11"/>
      <color theme="1"/>
      <name val="宋体"/>
      <family val="3"/>
      <charset val="134"/>
      <scheme val="minor"/>
    </font>
    <font>
      <sz val="10"/>
      <name val="宋体"/>
      <family val="3"/>
      <charset val="134"/>
      <scheme val="minor"/>
    </font>
    <font>
      <sz val="10"/>
      <name val="Arial"/>
      <family val="2"/>
    </font>
    <font>
      <sz val="10"/>
      <color rgb="FF000000"/>
      <name val="Arial"/>
      <family val="2"/>
    </font>
    <font>
      <sz val="10"/>
      <name val="Arial"/>
      <family val="2"/>
    </font>
    <font>
      <sz val="9"/>
      <name val="宋体"/>
      <family val="3"/>
      <charset val="134"/>
      <scheme val="minor"/>
    </font>
    <font>
      <sz val="11"/>
      <name val="Calibri"/>
      <family val="2"/>
    </font>
    <font>
      <sz val="10"/>
      <color rgb="FF000000"/>
      <name val="Microsoft YaHei"/>
      <family val="2"/>
      <charset val="134"/>
    </font>
    <font>
      <sz val="10"/>
      <color rgb="FF000000"/>
      <name val="Arial"/>
      <family val="2"/>
      <charset val="134"/>
    </font>
    <font>
      <sz val="10"/>
      <name val="Microsoft YaHei"/>
      <family val="2"/>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6">
    <xf numFmtId="0" fontId="0" fillId="0" borderId="0" xfId="0">
      <alignment vertical="center"/>
    </xf>
    <xf numFmtId="0" fontId="1" fillId="0" borderId="0" xfId="0" applyFont="1">
      <alignment vertical="center"/>
    </xf>
    <xf numFmtId="0" fontId="2" fillId="0" borderId="0" xfId="0" applyFont="1" applyAlignment="1"/>
    <xf numFmtId="0" fontId="0" fillId="0" borderId="0" xfId="0" applyAlignment="1"/>
    <xf numFmtId="0" fontId="3" fillId="0" borderId="0" xfId="0" applyFont="1" applyAlignment="1"/>
    <xf numFmtId="0" fontId="4" fillId="0" borderId="0" xfId="0" applyFont="1" applyAlignment="1"/>
    <xf numFmtId="0" fontId="5" fillId="0" borderId="0" xfId="0" applyFont="1" applyAlignment="1"/>
    <xf numFmtId="0" fontId="4" fillId="0" borderId="0" xfId="0" applyFont="1" applyAlignment="1">
      <alignment wrapText="1"/>
    </xf>
    <xf numFmtId="182" fontId="4" fillId="0" borderId="0" xfId="0" applyNumberFormat="1" applyFont="1" applyAlignment="1"/>
    <xf numFmtId="0" fontId="4" fillId="0" borderId="0" xfId="0" applyFont="1" applyAlignment="1">
      <alignment horizontal="right"/>
    </xf>
    <xf numFmtId="0" fontId="0" fillId="0" borderId="0" xfId="0" applyAlignment="1">
      <alignment horizontal="center" vertical="center"/>
    </xf>
    <xf numFmtId="0" fontId="7" fillId="0" borderId="0" xfId="0" applyFont="1" applyAlignment="1"/>
    <xf numFmtId="0" fontId="3" fillId="0" borderId="0" xfId="0" applyFont="1" applyAlignment="1">
      <alignment horizontal="center" vertical="center" wrapText="1"/>
    </xf>
    <xf numFmtId="184" fontId="3" fillId="0" borderId="0" xfId="0" applyNumberFormat="1" applyFont="1" applyAlignment="1">
      <alignment horizontal="center" vertical="center" wrapText="1"/>
    </xf>
    <xf numFmtId="184" fontId="0" fillId="0" borderId="0" xfId="0" applyNumberFormat="1" applyAlignment="1"/>
    <xf numFmtId="0" fontId="7" fillId="0" borderId="0" xfId="0" applyFont="1" applyAlignment="1">
      <alignment horizontal="center" vertical="center"/>
    </xf>
    <xf numFmtId="185" fontId="0" fillId="0" borderId="0" xfId="0" applyNumberFormat="1" applyAlignment="1">
      <alignment horizontal="center" vertical="center"/>
    </xf>
    <xf numFmtId="185" fontId="0" fillId="0" borderId="0" xfId="0" applyNumberFormat="1" applyAlignment="1"/>
    <xf numFmtId="14" fontId="0" fillId="0" borderId="0" xfId="0" applyNumberFormat="1" applyAlignment="1"/>
    <xf numFmtId="0" fontId="1" fillId="0" borderId="0" xfId="0" applyFont="1" applyAlignment="1"/>
    <xf numFmtId="0" fontId="9" fillId="0" borderId="0" xfId="0" applyFont="1" applyAlignment="1">
      <alignment wrapText="1"/>
    </xf>
    <xf numFmtId="190" fontId="4" fillId="0" borderId="0" xfId="0" applyNumberFormat="1" applyFont="1" applyAlignment="1">
      <alignment horizontal="right"/>
    </xf>
    <xf numFmtId="191" fontId="4" fillId="0" borderId="0" xfId="0" applyNumberFormat="1" applyFont="1" applyAlignment="1">
      <alignment horizontal="right"/>
    </xf>
    <xf numFmtId="191" fontId="4" fillId="0" borderId="0" xfId="0" applyNumberFormat="1" applyFont="1" applyAlignment="1"/>
    <xf numFmtId="181" fontId="1" fillId="0" borderId="0" xfId="0" applyNumberFormat="1" applyFont="1" applyAlignment="1"/>
    <xf numFmtId="181" fontId="0" fillId="0" borderId="0" xfId="0" applyNumberFormat="1" applyAlignme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alcChain" Target="calcChain.xml"/><Relationship Id="rId5" Type="http://schemas.openxmlformats.org/officeDocument/2006/relationships/styles" Target="styles.xml"/><Relationship Id="rId10" Type="http://schemas.microsoft.com/office/2017/06/relationships/rdRichValueTypes" Target="richData/rdRichValueTypes.xml"/><Relationship Id="rId4" Type="http://schemas.openxmlformats.org/officeDocument/2006/relationships/theme" Target="theme/theme1.xml"/><Relationship Id="rId9" Type="http://schemas.microsoft.com/office/2017/06/relationships/rdRichValueStructure" Target="richData/rdrichvaluestructure.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097595900218501E-2"/>
          <c:y val="0.18771562259069799"/>
          <c:w val="0.90308843622571899"/>
          <c:h val="0.80730630463461905"/>
        </c:manualLayout>
      </c:layout>
      <c:barChart>
        <c:barDir val="col"/>
        <c:grouping val="clustered"/>
        <c:varyColors val="0"/>
        <c:ser>
          <c:idx val="0"/>
          <c:order val="0"/>
          <c:tx>
            <c:strRef>
              <c:f>Sheet2!$C$1</c:f>
              <c:strCache>
                <c:ptCount val="1"/>
                <c:pt idx="0">
                  <c:v>最新市值（亿）</c:v>
                </c:pt>
              </c:strCache>
            </c:strRef>
          </c:tx>
          <c:spPr>
            <a:gradFill flip="none" rotWithShape="1">
              <a:gsLst>
                <a:gs pos="0">
                  <a:srgbClr val="CC0000">
                    <a:shade val="30000"/>
                    <a:satMod val="115000"/>
                  </a:srgbClr>
                </a:gs>
                <a:gs pos="50000">
                  <a:srgbClr val="CC0000">
                    <a:shade val="67500"/>
                    <a:satMod val="115000"/>
                  </a:srgbClr>
                </a:gs>
                <a:gs pos="100000">
                  <a:srgbClr val="CC0000">
                    <a:shade val="100000"/>
                    <a:satMod val="115000"/>
                  </a:srgbClr>
                </a:gs>
              </a:gsLst>
              <a:lin ang="16200000" scaled="1"/>
              <a:tileRect/>
            </a:gradFill>
            <a:ln>
              <a:noFill/>
            </a:ln>
            <a:effectLst/>
          </c:spPr>
          <c:invertIfNegative val="0"/>
          <c:dLbls>
            <c:dLbl>
              <c:idx val="0"/>
              <c:layout>
                <c:manualLayout>
                  <c:x val="-2.28787850539476E-3"/>
                  <c:y val="2.0145693718893298E-2"/>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4EB-3848-9C87-F225403D5D18}"/>
                </c:ext>
              </c:extLst>
            </c:dLbl>
            <c:dLbl>
              <c:idx val="1"/>
              <c:layout>
                <c:manualLayout>
                  <c:x val="-1.3460263092711E-3"/>
                  <c:y val="2.1275411887063101E-2"/>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4EB-3848-9C87-F225403D5D18}"/>
                </c:ext>
              </c:extLst>
            </c:dLbl>
            <c:dLbl>
              <c:idx val="2"/>
              <c:layout>
                <c:manualLayout>
                  <c:x val="-3.1517146659493201E-5"/>
                  <c:y val="1.63406217601741E-2"/>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4EB-3848-9C87-F225403D5D18}"/>
                </c:ext>
              </c:extLst>
            </c:dLbl>
            <c:dLbl>
              <c:idx val="3"/>
              <c:layout>
                <c:manualLayout>
                  <c:x val="-2.27389554596132E-4"/>
                  <c:y val="1.13716795837233E-2"/>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4EB-3848-9C87-F225403D5D18}"/>
                </c:ext>
              </c:extLst>
            </c:dLbl>
            <c:dLbl>
              <c:idx val="4"/>
              <c:layout>
                <c:manualLayout>
                  <c:x val="3.9296555042699099E-4"/>
                  <c:y val="9.6904047172443608E-3"/>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4EB-3848-9C87-F225403D5D18}"/>
                </c:ext>
              </c:extLst>
            </c:dLbl>
            <c:numFmt formatCode="&quot;$&quot;#,##0.0" sourceLinked="0"/>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chemeClr val="tx1">
                        <a:lumMod val="75000"/>
                        <a:lumOff val="25000"/>
                      </a:schemeClr>
                    </a:solidFill>
                    <a:latin typeface="+mn-lt"/>
                    <a:ea typeface="+mn-ea"/>
                    <a:cs typeface="+mn-cs"/>
                  </a:defRPr>
                </a:pPr>
                <a:endParaRPr lang="zh-CN"/>
              </a:p>
            </c:txPr>
            <c:dLblPos val="inBase"/>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noFill/>
                      <a:prstDash val="solid"/>
                      <a:round/>
                    </a:ln>
                    <a:effectLst/>
                  </c:spPr>
                </c15:leaderLines>
              </c:ext>
            </c:extLst>
          </c:dLbls>
          <c:cat>
            <c:strRef>
              <c:f>Sheet2!$B$2:$B$8</c:f>
              <c:strCache>
                <c:ptCount val="7"/>
                <c:pt idx="0">
                  <c:v>途虎-W</c:v>
                </c:pt>
                <c:pt idx="1">
                  <c:v>永达汽车</c:v>
                </c:pt>
                <c:pt idx="2">
                  <c:v>喜相逢集团</c:v>
                </c:pt>
                <c:pt idx="3">
                  <c:v>中科创达</c:v>
                </c:pt>
                <c:pt idx="4">
                  <c:v>德赛西威</c:v>
                </c:pt>
                <c:pt idx="5">
                  <c:v>CARVANA</c:v>
                </c:pt>
                <c:pt idx="6">
                  <c:v>全美汽车租赁</c:v>
                </c:pt>
              </c:strCache>
            </c:strRef>
          </c:cat>
          <c:val>
            <c:numRef>
              <c:f>Sheet2!$F$2:$F$8</c:f>
              <c:numCache>
                <c:formatCode>0.00\x</c:formatCode>
                <c:ptCount val="7"/>
                <c:pt idx="0">
                  <c:v>30.858560545103899</c:v>
                </c:pt>
                <c:pt idx="1">
                  <c:v>30.858560545103899</c:v>
                </c:pt>
                <c:pt idx="2">
                  <c:v>30.858560545103899</c:v>
                </c:pt>
                <c:pt idx="3">
                  <c:v>30.858560545103899</c:v>
                </c:pt>
                <c:pt idx="4">
                  <c:v>30.858560545103899</c:v>
                </c:pt>
                <c:pt idx="5">
                  <c:v>30.858560545103899</c:v>
                </c:pt>
                <c:pt idx="6">
                  <c:v>30.858560545103899</c:v>
                </c:pt>
              </c:numCache>
            </c:numRef>
          </c:val>
          <c:extLst>
            <c:ext xmlns:c16="http://schemas.microsoft.com/office/drawing/2014/chart" uri="{C3380CC4-5D6E-409C-BE32-E72D297353CC}">
              <c16:uniqueId val="{00000005-14EB-3848-9C87-F225403D5D18}"/>
            </c:ext>
          </c:extLst>
        </c:ser>
        <c:dLbls>
          <c:showLegendKey val="0"/>
          <c:showVal val="0"/>
          <c:showCatName val="0"/>
          <c:showSerName val="0"/>
          <c:showPercent val="0"/>
          <c:showBubbleSize val="0"/>
        </c:dLbls>
        <c:gapWidth val="89"/>
        <c:axId val="380177839"/>
        <c:axId val="380178319"/>
      </c:barChart>
      <c:scatterChart>
        <c:scatterStyle val="lineMarker"/>
        <c:varyColors val="0"/>
        <c:ser>
          <c:idx val="4"/>
          <c:order val="1"/>
          <c:tx>
            <c:strRef>
              <c:f>Sheet2!$E$1</c:f>
              <c:strCache>
                <c:ptCount val="1"/>
                <c:pt idx="0">
                  <c:v>Ps TTM</c:v>
                </c:pt>
              </c:strCache>
            </c:strRef>
          </c:tx>
          <c:spPr>
            <a:ln w="28575" cap="rnd" cmpd="sng" algn="ctr">
              <a:solidFill>
                <a:schemeClr val="accent2">
                  <a:lumMod val="50000"/>
                </a:schemeClr>
              </a:solidFill>
              <a:prstDash val="sysDot"/>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6-14EB-3848-9C87-F225403D5D18}"/>
                </c:ext>
              </c:extLst>
            </c:dLbl>
            <c:dLbl>
              <c:idx val="1"/>
              <c:delete val="1"/>
              <c:extLst>
                <c:ext xmlns:c15="http://schemas.microsoft.com/office/drawing/2012/chart" uri="{CE6537A1-D6FC-4f65-9D91-7224C49458BB}"/>
                <c:ext xmlns:c16="http://schemas.microsoft.com/office/drawing/2014/chart" uri="{C3380CC4-5D6E-409C-BE32-E72D297353CC}">
                  <c16:uniqueId val="{00000007-14EB-3848-9C87-F225403D5D18}"/>
                </c:ext>
              </c:extLst>
            </c:dLbl>
            <c:dLbl>
              <c:idx val="2"/>
              <c:delete val="1"/>
              <c:extLst>
                <c:ext xmlns:c15="http://schemas.microsoft.com/office/drawing/2012/chart" uri="{CE6537A1-D6FC-4f65-9D91-7224C49458BB}"/>
                <c:ext xmlns:c16="http://schemas.microsoft.com/office/drawing/2014/chart" uri="{C3380CC4-5D6E-409C-BE32-E72D297353CC}">
                  <c16:uniqueId val="{00000008-14EB-3848-9C87-F225403D5D18}"/>
                </c:ext>
              </c:extLst>
            </c:dLbl>
            <c:dLbl>
              <c:idx val="3"/>
              <c:layout>
                <c:manualLayout>
                  <c:x val="-1.3478303048125286E-2"/>
                  <c:y val="-4.7994810220100839E-2"/>
                </c:manualLayout>
              </c:layout>
              <c:spPr>
                <a:noFill/>
                <a:ln>
                  <a:noFill/>
                </a:ln>
                <a:effectLst/>
              </c:spPr>
              <c:txPr>
                <a:bodyPr rot="0" spcFirstLastPara="1" vertOverflow="ellipsis" vert="horz" wrap="square" lIns="38100" tIns="19050" rIns="38100" bIns="19050" anchor="ctr" anchorCtr="1">
                  <a:noAutofit/>
                </a:bodyPr>
                <a:lstStyle/>
                <a:p>
                  <a:pPr>
                    <a:defRPr lang="zh-CN" sz="2400" b="1" i="0" u="none" strike="noStrike" kern="1200" baseline="0">
                      <a:solidFill>
                        <a:schemeClr val="tx1">
                          <a:lumMod val="75000"/>
                          <a:lumOff val="25000"/>
                        </a:schemeClr>
                      </a:solidFill>
                      <a:latin typeface="+mn-lt"/>
                      <a:ea typeface="+mn-ea"/>
                      <a:cs typeface="+mn-cs"/>
                    </a:defRPr>
                  </a:pPr>
                  <a:endParaRPr lang="zh-CN"/>
                </a:p>
              </c:txPr>
              <c:dLblPos val="r"/>
              <c:showLegendKey val="0"/>
              <c:showVal val="1"/>
              <c:showCatName val="0"/>
              <c:showSerName val="0"/>
              <c:showPercent val="0"/>
              <c:showBubbleSize val="0"/>
              <c:extLst>
                <c:ext xmlns:c15="http://schemas.microsoft.com/office/drawing/2012/chart" uri="{CE6537A1-D6FC-4f65-9D91-7224C49458BB}">
                  <c15:layout>
                    <c:manualLayout>
                      <c:w val="0.12005572887457372"/>
                      <c:h val="8.6828279728981606E-2"/>
                    </c:manualLayout>
                  </c15:layout>
                </c:ext>
                <c:ext xmlns:c16="http://schemas.microsoft.com/office/drawing/2014/chart" uri="{C3380CC4-5D6E-409C-BE32-E72D297353CC}">
                  <c16:uniqueId val="{00000009-14EB-3848-9C87-F225403D5D18}"/>
                </c:ext>
              </c:extLst>
            </c:dLbl>
            <c:dLbl>
              <c:idx val="4"/>
              <c:delete val="1"/>
              <c:extLst>
                <c:ext xmlns:c15="http://schemas.microsoft.com/office/drawing/2012/chart" uri="{CE6537A1-D6FC-4f65-9D91-7224C49458BB}"/>
                <c:ext xmlns:c16="http://schemas.microsoft.com/office/drawing/2014/chart" uri="{C3380CC4-5D6E-409C-BE32-E72D297353CC}">
                  <c16:uniqueId val="{0000000A-14EB-3848-9C87-F225403D5D18}"/>
                </c:ext>
              </c:extLst>
            </c:dLbl>
            <c:dLbl>
              <c:idx val="5"/>
              <c:delete val="1"/>
              <c:extLst>
                <c:ext xmlns:c15="http://schemas.microsoft.com/office/drawing/2012/chart" uri="{CE6537A1-D6FC-4f65-9D91-7224C49458BB}"/>
                <c:ext xmlns:c16="http://schemas.microsoft.com/office/drawing/2014/chart" uri="{C3380CC4-5D6E-409C-BE32-E72D297353CC}">
                  <c16:uniqueId val="{00000015-14EB-3848-9C87-F225403D5D18}"/>
                </c:ext>
              </c:extLst>
            </c:dLbl>
            <c:dLbl>
              <c:idx val="6"/>
              <c:delete val="1"/>
              <c:extLst>
                <c:ext xmlns:c15="http://schemas.microsoft.com/office/drawing/2012/chart" uri="{CE6537A1-D6FC-4f65-9D91-7224C49458BB}"/>
                <c:ext xmlns:c16="http://schemas.microsoft.com/office/drawing/2014/chart" uri="{C3380CC4-5D6E-409C-BE32-E72D297353CC}">
                  <c16:uniqueId val="{00000016-14EB-3848-9C87-F225403D5D18}"/>
                </c:ext>
              </c:extLst>
            </c:dLbl>
            <c:spPr>
              <a:noFill/>
              <a:ln>
                <a:noFill/>
              </a:ln>
              <a:effectLst/>
            </c:spPr>
            <c:txPr>
              <a:bodyPr rot="0" spcFirstLastPara="1" vertOverflow="ellipsis" vert="horz" wrap="square" lIns="38100" tIns="19050" rIns="38100" bIns="19050" anchor="ctr" anchorCtr="1">
                <a:spAutoFit/>
              </a:bodyPr>
              <a:lstStyle/>
              <a:p>
                <a:pPr>
                  <a:defRPr lang="zh-CN" sz="900" b="1" i="0" u="none" strike="noStrike" kern="1200" baseline="0">
                    <a:solidFill>
                      <a:schemeClr val="tx1">
                        <a:lumMod val="75000"/>
                        <a:lumOff val="25000"/>
                      </a:schemeClr>
                    </a:solidFill>
                    <a:latin typeface="+mn-lt"/>
                    <a:ea typeface="+mn-ea"/>
                    <a:cs typeface="+mn-cs"/>
                  </a:defRPr>
                </a:pPr>
                <a:endParaRPr lang="zh-CN"/>
              </a:p>
            </c:txPr>
            <c:dLblPos val="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noFill/>
                      <a:prstDash val="solid"/>
                      <a:round/>
                    </a:ln>
                    <a:effectLst/>
                  </c:spPr>
                </c15:leaderLines>
              </c:ext>
            </c:extLst>
          </c:dLbls>
          <c:xVal>
            <c:strRef>
              <c:f>Sheet2!$B$2:$B$8</c:f>
              <c:strCache>
                <c:ptCount val="7"/>
                <c:pt idx="0">
                  <c:v>途虎-W</c:v>
                </c:pt>
                <c:pt idx="1">
                  <c:v>永达汽车</c:v>
                </c:pt>
                <c:pt idx="2">
                  <c:v>喜相逢集团</c:v>
                </c:pt>
                <c:pt idx="3">
                  <c:v>中科创达</c:v>
                </c:pt>
                <c:pt idx="4">
                  <c:v>德赛西威</c:v>
                </c:pt>
                <c:pt idx="5">
                  <c:v>CARVANA</c:v>
                </c:pt>
                <c:pt idx="6">
                  <c:v>全美汽车租赁</c:v>
                </c:pt>
              </c:strCache>
            </c:strRef>
          </c:xVal>
          <c:yVal>
            <c:numRef>
              <c:f>Sheet2!$F$2:$F$86</c:f>
              <c:numCache>
                <c:formatCode>0.00\x</c:formatCode>
                <c:ptCount val="85"/>
                <c:pt idx="0">
                  <c:v>30.858560545103899</c:v>
                </c:pt>
                <c:pt idx="1">
                  <c:v>30.858560545103899</c:v>
                </c:pt>
                <c:pt idx="2">
                  <c:v>30.858560545103899</c:v>
                </c:pt>
                <c:pt idx="3">
                  <c:v>30.858560545103899</c:v>
                </c:pt>
                <c:pt idx="4">
                  <c:v>30.858560545103899</c:v>
                </c:pt>
                <c:pt idx="5">
                  <c:v>30.858560545103899</c:v>
                </c:pt>
                <c:pt idx="6">
                  <c:v>30.858560545103899</c:v>
                </c:pt>
              </c:numCache>
            </c:numRef>
          </c:yVal>
          <c:smooth val="0"/>
          <c:extLst>
            <c:ext xmlns:c16="http://schemas.microsoft.com/office/drawing/2014/chart" uri="{C3380CC4-5D6E-409C-BE32-E72D297353CC}">
              <c16:uniqueId val="{0000000B-14EB-3848-9C87-F225403D5D18}"/>
            </c:ext>
          </c:extLst>
        </c:ser>
        <c:ser>
          <c:idx val="1"/>
          <c:order val="2"/>
          <c:tx>
            <c:strRef>
              <c:f>Sheet2!$D$1</c:f>
              <c:strCache>
                <c:ptCount val="1"/>
                <c:pt idx="0">
                  <c:v>PE TTM</c:v>
                </c:pt>
              </c:strCache>
            </c:strRef>
          </c:tx>
          <c:spPr>
            <a:ln w="28575" cap="rnd" cmpd="sng" algn="ctr">
              <a:noFill/>
              <a:prstDash val="solid"/>
              <a:round/>
            </a:ln>
            <a:effectLst/>
          </c:spPr>
          <c:marker>
            <c:spPr>
              <a:solidFill>
                <a:schemeClr val="tx2">
                  <a:lumMod val="75000"/>
                  <a:lumOff val="25000"/>
                </a:schemeClr>
              </a:solidFill>
              <a:ln w="9525" cap="flat" cmpd="sng" algn="ctr">
                <a:solidFill>
                  <a:schemeClr val="tx2">
                    <a:lumMod val="75000"/>
                    <a:lumOff val="25000"/>
                  </a:schemeClr>
                </a:solidFill>
                <a:prstDash val="solid"/>
                <a:round/>
              </a:ln>
            </c:spPr>
          </c:marker>
          <c:dLbls>
            <c:dLbl>
              <c:idx val="0"/>
              <c:layout>
                <c:manualLayout>
                  <c:x val="-3.4069017319424397E-2"/>
                  <c:y val="3.5007166698407297E-2"/>
                </c:manualLayout>
              </c:layout>
              <c:tx>
                <c:rich>
                  <a:bodyPr rot="0" spcFirstLastPara="0" vertOverflow="ellipsis" vert="horz" wrap="square" lIns="38100" tIns="19050" rIns="38100" bIns="19050" anchor="ctr" anchorCtr="1">
                    <a:spAutoFit/>
                  </a:bodyPr>
                  <a:lstStyle/>
                  <a:p>
                    <a:pPr>
                      <a:defRPr lang="zh-CN" sz="1100" b="0" i="0" u="none" strike="noStrike" kern="1200" baseline="0">
                        <a:solidFill>
                          <a:schemeClr val="bg1"/>
                        </a:solidFill>
                        <a:latin typeface="+mn-lt"/>
                        <a:ea typeface="+mn-ea"/>
                        <a:cs typeface="+mn-cs"/>
                      </a:defRPr>
                    </a:pPr>
                    <a:r>
                      <a:rPr lang="en-US" altLang="zh-CN"/>
                      <a:t>.06</a:t>
                    </a:r>
                    <a:r>
                      <a:rPr lang="en-US" altLang="zh-CN">
                        <a:solidFill>
                          <a:schemeClr val="tx1"/>
                        </a:solidFill>
                      </a:rPr>
                      <a:t>51.06</a:t>
                    </a:r>
                    <a:endParaRPr lang="en-US" altLang="zh-CN"/>
                  </a:p>
                </c:rich>
              </c:tx>
              <c:spPr>
                <a:noFill/>
                <a:ln>
                  <a:noFill/>
                </a:ln>
                <a:effectLst/>
              </c:spPr>
              <c:dLblPos val="r"/>
              <c:showLegendKey val="0"/>
              <c:showVal val="1"/>
              <c:showCatName val="0"/>
              <c:showSerName val="0"/>
              <c:showPercent val="0"/>
              <c:showBubbleSize val="0"/>
              <c:separator>, </c:separator>
              <c:extLst>
                <c:ext xmlns:c15="http://schemas.microsoft.com/office/drawing/2012/chart" uri="{CE6537A1-D6FC-4f65-9D91-7224C49458BB}">
                  <c15:showDataLabelsRange val="0"/>
                </c:ext>
                <c:ext xmlns:c16="http://schemas.microsoft.com/office/drawing/2014/chart" uri="{C3380CC4-5D6E-409C-BE32-E72D297353CC}">
                  <c16:uniqueId val="{0000000C-14EB-3848-9C87-F225403D5D18}"/>
                </c:ext>
              </c:extLst>
            </c:dLbl>
            <c:dLbl>
              <c:idx val="1"/>
              <c:layout>
                <c:manualLayout>
                  <c:x val="-3.0719008213102101E-2"/>
                  <c:y val="-4.32612082117814E-2"/>
                </c:manualLayout>
              </c:layout>
              <c:tx>
                <c:rich>
                  <a:bodyPr rot="0" spcFirstLastPara="0" vertOverflow="ellipsis" vert="horz" wrap="square" lIns="38100" tIns="19050" rIns="38100" bIns="19050" anchor="ctr" anchorCtr="1">
                    <a:spAutoFit/>
                  </a:bodyPr>
                  <a:lstStyle/>
                  <a:p>
                    <a:fld id="{A31DD3B3-59AB-4737-83B3-288FD8F0098F}" type="VALUE">
                      <a:rPr lang="en-US" altLang="zh-CN"/>
                      <a:pPr/>
                      <a:t>[值]</a:t>
                    </a:fld>
                    <a:endParaRPr lang="zh-CN" altLang="en-US"/>
                  </a:p>
                </c:rich>
              </c:tx>
              <c:spPr>
                <a:noFill/>
                <a:ln>
                  <a:noFill/>
                </a:ln>
                <a:effectLst/>
              </c:spPr>
              <c:dLblPos val="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D-14EB-3848-9C87-F225403D5D18}"/>
                </c:ext>
              </c:extLst>
            </c:dLbl>
            <c:dLbl>
              <c:idx val="2"/>
              <c:layout>
                <c:manualLayout>
                  <c:x val="-3.3674671508230399E-2"/>
                  <c:y val="-3.7160348266613602E-2"/>
                </c:manualLayout>
              </c:layout>
              <c:tx>
                <c:rich>
                  <a:bodyPr rot="0" spcFirstLastPara="0" vertOverflow="ellipsis" vert="horz" wrap="square" lIns="38100" tIns="19050" rIns="38100" bIns="19050" anchor="ctr" anchorCtr="1">
                    <a:spAutoFit/>
                  </a:bodyPr>
                  <a:lstStyle/>
                  <a:p>
                    <a:fld id="{9997C909-D69B-4130-BBEC-E85C4E314688}" type="VALUE">
                      <a:rPr lang="en-US" altLang="zh-CN"/>
                      <a:pPr/>
                      <a:t>[值]</a:t>
                    </a:fld>
                    <a:endParaRPr lang="zh-CN" altLang="en-US"/>
                  </a:p>
                </c:rich>
              </c:tx>
              <c:spPr>
                <a:noFill/>
                <a:ln>
                  <a:noFill/>
                </a:ln>
                <a:effectLst/>
              </c:spPr>
              <c:dLblPos val="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E-14EB-3848-9C87-F225403D5D18}"/>
                </c:ext>
              </c:extLst>
            </c:dLbl>
            <c:dLbl>
              <c:idx val="3"/>
              <c:layout>
                <c:manualLayout>
                  <c:x val="-2.9125283765295801E-2"/>
                  <c:y val="2.5240407406819598E-2"/>
                </c:manualLayout>
              </c:layout>
              <c:tx>
                <c:rich>
                  <a:bodyPr rot="0" spcFirstLastPara="0" vertOverflow="ellipsis" vert="horz" wrap="square" lIns="38100" tIns="19050" rIns="38100" bIns="19050" anchor="ctr" anchorCtr="1">
                    <a:spAutoFit/>
                  </a:bodyPr>
                  <a:lstStyle/>
                  <a:p>
                    <a:fld id="{FFFCE9DB-CAC0-4E80-8138-4C3000C4FF2C}" type="VALUE">
                      <a:rPr lang="en-US" altLang="zh-CN"/>
                      <a:pPr/>
                      <a:t>[值]</a:t>
                    </a:fld>
                    <a:endParaRPr lang="zh-CN" altLang="en-US"/>
                  </a:p>
                </c:rich>
              </c:tx>
              <c:spPr>
                <a:noFill/>
                <a:ln>
                  <a:noFill/>
                </a:ln>
                <a:effectLst/>
              </c:spPr>
              <c:dLblPos val="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F-14EB-3848-9C87-F225403D5D18}"/>
                </c:ext>
              </c:extLst>
            </c:dLbl>
            <c:dLbl>
              <c:idx val="4"/>
              <c:layout>
                <c:manualLayout>
                  <c:x val="-3.3351022886775397E-2"/>
                  <c:y val="2.8697962378813599E-2"/>
                </c:manualLayout>
              </c:layout>
              <c:tx>
                <c:rich>
                  <a:bodyPr rot="0" spcFirstLastPara="0" vertOverflow="ellipsis" vert="horz" wrap="square" lIns="38100" tIns="19050" rIns="38100" bIns="19050" anchor="ctr" anchorCtr="1">
                    <a:spAutoFit/>
                  </a:bodyPr>
                  <a:lstStyle/>
                  <a:p>
                    <a:fld id="{3B84D25C-04E0-4154-8B94-36A6301F1E6C}" type="VALUE">
                      <a:rPr lang="en-US" altLang="zh-CN"/>
                      <a:pPr/>
                      <a:t>[值]</a:t>
                    </a:fld>
                    <a:endParaRPr lang="zh-CN" altLang="en-US"/>
                  </a:p>
                </c:rich>
              </c:tx>
              <c:spPr>
                <a:noFill/>
                <a:ln>
                  <a:noFill/>
                </a:ln>
                <a:effectLst/>
              </c:spPr>
              <c:dLblPos val="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10-14EB-3848-9C87-F225403D5D18}"/>
                </c:ext>
              </c:extLst>
            </c:dLbl>
            <c:spPr>
              <a:noFill/>
              <a:ln>
                <a:noFill/>
              </a:ln>
              <a:effectLst/>
            </c:spPr>
            <c:txPr>
              <a:bodyPr rot="0" spcFirstLastPara="0" vertOverflow="ellipsis" vert="horz" wrap="square" lIns="38100" tIns="19050" rIns="38100" bIns="19050" anchor="ctr" anchorCtr="1">
                <a:spAutoFit/>
              </a:bodyPr>
              <a:lstStyle/>
              <a:p>
                <a:pPr>
                  <a:defRPr lang="zh-CN" sz="1100" b="0" i="0" u="none" strike="noStrike" kern="1200" baseline="0">
                    <a:solidFill>
                      <a:schemeClr val="tx1"/>
                    </a:solidFill>
                    <a:latin typeface="+mn-lt"/>
                    <a:ea typeface="+mn-ea"/>
                    <a:cs typeface="+mn-cs"/>
                  </a:defRPr>
                </a:pPr>
                <a:endParaRPr lang="zh-CN"/>
              </a:p>
            </c:txPr>
            <c:dLblPos val="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noFill/>
                      <a:prstDash val="solid"/>
                      <a:round/>
                    </a:ln>
                  </c:spPr>
                </c15:leaderLines>
              </c:ext>
            </c:extLst>
          </c:dLbls>
          <c:xVal>
            <c:strRef>
              <c:f>Sheet2!$B$2:$B$8</c:f>
              <c:strCache>
                <c:ptCount val="7"/>
                <c:pt idx="0">
                  <c:v>途虎-W</c:v>
                </c:pt>
                <c:pt idx="1">
                  <c:v>永达汽车</c:v>
                </c:pt>
                <c:pt idx="2">
                  <c:v>喜相逢集团</c:v>
                </c:pt>
                <c:pt idx="3">
                  <c:v>中科创达</c:v>
                </c:pt>
                <c:pt idx="4">
                  <c:v>德赛西威</c:v>
                </c:pt>
                <c:pt idx="5">
                  <c:v>CARVANA</c:v>
                </c:pt>
                <c:pt idx="6">
                  <c:v>全美汽车租赁</c:v>
                </c:pt>
              </c:strCache>
            </c:strRef>
          </c:xVal>
          <c:yVal>
            <c:numRef>
              <c:f>Sheet2!$D$2:$D$8</c:f>
              <c:numCache>
                <c:formatCode>0.00_ </c:formatCode>
                <c:ptCount val="7"/>
                <c:pt idx="0">
                  <c:v>51.057765960693402</c:v>
                </c:pt>
                <c:pt idx="1">
                  <c:v>10.3516654968262</c:v>
                </c:pt>
                <c:pt idx="2">
                  <c:v>28.195491790771499</c:v>
                </c:pt>
                <c:pt idx="3">
                  <c:v>67.280433654785199</c:v>
                </c:pt>
                <c:pt idx="4">
                  <c:v>20.642992019653299</c:v>
                </c:pt>
                <c:pt idx="5">
                  <c:v>-0.76699078083038297</c:v>
                </c:pt>
                <c:pt idx="6">
                  <c:v>39.248565673828097</c:v>
                </c:pt>
              </c:numCache>
            </c:numRef>
          </c:yVal>
          <c:smooth val="0"/>
          <c:extLst>
            <c:ext xmlns:c16="http://schemas.microsoft.com/office/drawing/2014/chart" uri="{C3380CC4-5D6E-409C-BE32-E72D297353CC}">
              <c16:uniqueId val="{00000011-14EB-3848-9C87-F225403D5D18}"/>
            </c:ext>
          </c:extLst>
        </c:ser>
        <c:dLbls>
          <c:showLegendKey val="0"/>
          <c:showVal val="0"/>
          <c:showCatName val="0"/>
          <c:showSerName val="0"/>
          <c:showPercent val="0"/>
          <c:showBubbleSize val="0"/>
        </c:dLbls>
        <c:axId val="380140399"/>
        <c:axId val="380149039"/>
      </c:scatterChart>
      <c:catAx>
        <c:axId val="380177839"/>
        <c:scaling>
          <c:orientation val="minMax"/>
        </c:scaling>
        <c:delete val="1"/>
        <c:axPos val="b"/>
        <c:numFmt formatCode="General" sourceLinked="1"/>
        <c:majorTickMark val="none"/>
        <c:minorTickMark val="none"/>
        <c:tickLblPos val="nextTo"/>
        <c:crossAx val="380178319"/>
        <c:crosses val="autoZero"/>
        <c:auto val="1"/>
        <c:lblAlgn val="ctr"/>
        <c:lblOffset val="100"/>
        <c:noMultiLvlLbl val="0"/>
      </c:catAx>
      <c:valAx>
        <c:axId val="380178319"/>
        <c:scaling>
          <c:orientation val="minMax"/>
          <c:max val="100"/>
          <c:min val="0"/>
        </c:scaling>
        <c:delete val="0"/>
        <c:axPos val="l"/>
        <c:numFmt formatCode="0"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100" b="0" i="0" u="none" strike="noStrike" kern="1200" baseline="0">
                <a:solidFill>
                  <a:schemeClr val="tx1">
                    <a:lumMod val="65000"/>
                    <a:lumOff val="35000"/>
                  </a:schemeClr>
                </a:solidFill>
                <a:latin typeface="+mn-lt"/>
                <a:ea typeface="+mn-ea"/>
                <a:cs typeface="+mn-cs"/>
              </a:defRPr>
            </a:pPr>
            <a:endParaRPr lang="zh-CN"/>
          </a:p>
        </c:txPr>
        <c:crossAx val="380177839"/>
        <c:crosses val="autoZero"/>
        <c:crossBetween val="between"/>
        <c:majorUnit val="10"/>
      </c:valAx>
      <c:catAx>
        <c:axId val="380140399"/>
        <c:scaling>
          <c:orientation val="minMax"/>
        </c:scaling>
        <c:delete val="1"/>
        <c:axPos val="b"/>
        <c:numFmt formatCode="General" sourceLinked="1"/>
        <c:majorTickMark val="out"/>
        <c:minorTickMark val="none"/>
        <c:tickLblPos val="nextTo"/>
        <c:crossAx val="380149039"/>
        <c:crosses val="autoZero"/>
        <c:auto val="1"/>
        <c:lblAlgn val="ctr"/>
        <c:lblOffset val="100"/>
        <c:noMultiLvlLbl val="1"/>
      </c:catAx>
      <c:valAx>
        <c:axId val="380149039"/>
        <c:scaling>
          <c:orientation val="minMax"/>
          <c:max val="70"/>
          <c:min val="0"/>
        </c:scaling>
        <c:delete val="0"/>
        <c:axPos val="r"/>
        <c:numFmt formatCode="0" sourceLinked="0"/>
        <c:majorTickMark val="out"/>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endParaRPr lang="zh-CN"/>
          </a:p>
        </c:txPr>
        <c:crossAx val="380140399"/>
        <c:crosses val="max"/>
        <c:crossBetween val="between"/>
        <c:majorUnit val="5"/>
      </c:valAx>
      <c:dTable>
        <c:showHorzBorder val="1"/>
        <c:showVertBorder val="1"/>
        <c:showOutline val="1"/>
        <c:showKeys val="0"/>
        <c:spPr>
          <a:noFill/>
          <a:ln w="9525" cap="flat" cmpd="sng" algn="ctr">
            <a:solidFill>
              <a:schemeClr val="tx1">
                <a:lumMod val="15000"/>
                <a:lumOff val="85000"/>
              </a:schemeClr>
            </a:solidFill>
            <a:prstDash val="solid"/>
            <a:round/>
          </a:ln>
          <a:effectLst/>
        </c:spPr>
        <c:txPr>
          <a:bodyPr rot="0" spcFirstLastPara="1" vertOverflow="ellipsis" vert="horz" wrap="square" anchor="ctr" anchorCtr="1"/>
          <a:lstStyle/>
          <a:p>
            <a:pPr rtl="0">
              <a:defRPr lang="zh-CN" sz="900" b="0" i="0" u="none" strike="noStrike" kern="1200" baseline="0">
                <a:solidFill>
                  <a:schemeClr val="tx1">
                    <a:lumMod val="65000"/>
                    <a:lumOff val="35000"/>
                  </a:schemeClr>
                </a:solidFill>
                <a:latin typeface="+mn-lt"/>
                <a:ea typeface="+mn-ea"/>
                <a:cs typeface="+mn-cs"/>
              </a:defRPr>
            </a:pPr>
            <a:endParaRPr lang="zh-CN"/>
          </a:p>
        </c:txPr>
      </c:dTable>
      <c:spPr>
        <a:noFill/>
        <a:ln>
          <a:noFill/>
        </a:ln>
        <a:effectLst/>
      </c:spPr>
    </c:plotArea>
    <c:legend>
      <c:legendPos val="b"/>
      <c:legendEntry>
        <c:idx val="0"/>
        <c:txPr>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endParaRPr lang="zh-CN"/>
          </a:p>
        </c:txPr>
      </c:legendEntry>
      <c:legendEntry>
        <c:idx val="1"/>
        <c:delete val="1"/>
      </c:legendEntry>
      <c:legendEntry>
        <c:idx val="2"/>
        <c:txPr>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endParaRPr lang="zh-CN"/>
          </a:p>
        </c:txPr>
      </c:legendEntry>
      <c:layout>
        <c:manualLayout>
          <c:xMode val="edge"/>
          <c:yMode val="edge"/>
          <c:x val="0.78251293312771697"/>
          <c:y val="6.6746747645460597E-2"/>
          <c:w val="0.15229220308816399"/>
          <c:h val="0.11228326941457201"/>
        </c:manualLayout>
      </c:layout>
      <c:overlay val="0"/>
      <c:spPr>
        <a:noFill/>
        <a:ln>
          <a:noFill/>
        </a:ln>
        <a:effectLst/>
      </c:spPr>
      <c:txPr>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50000"/>
          <a:lumOff val="50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320040</xdr:colOff>
      <xdr:row>26</xdr:row>
      <xdr:rowOff>136525</xdr:rowOff>
    </xdr:from>
    <xdr:to>
      <xdr:col>12</xdr:col>
      <xdr:colOff>88900</xdr:colOff>
      <xdr:row>54</xdr:row>
      <xdr:rowOff>83512</xdr:rowOff>
    </xdr:to>
    <xdr:graphicFrame macro="">
      <xdr:nvGraphicFramePr>
        <xdr:cNvPr id="2" name="图表 3">
          <a:extLst>
            <a:ext uri="{FF2B5EF4-FFF2-40B4-BE49-F238E27FC236}">
              <a16:creationId xmlns:a16="http://schemas.microsoft.com/office/drawing/2014/main" id="{D4CC9A91-FB4E-204F-B557-3E70FBB5D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yangwenbo/Desktop/&#21103;&#26412;&#23545;&#26631;&#22270;&#27169;&#29256;%20&#26032;(1).xlsx" TargetMode="External"/><Relationship Id="rId1" Type="http://schemas.openxmlformats.org/officeDocument/2006/relationships/externalLinkPath" Target="/Users/yangwenbo/Desktop/&#21103;&#26412;&#23545;&#26631;&#22270;&#27169;&#29256;%20&#2603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万得"/>
      <sheetName val="万得 (2)"/>
      <sheetName val="万得 (3)"/>
    </sheetNames>
    <sheetDataSet>
      <sheetData sheetId="0">
        <row r="1">
          <cell r="C1" t="str">
            <v>最新市值（亿）</v>
          </cell>
          <cell r="E1" t="str">
            <v>PE TTM</v>
          </cell>
          <cell r="F1" t="str">
            <v>PS 平均值</v>
          </cell>
        </row>
        <row r="2">
          <cell r="A2" t="str">
            <v>CPAY.N</v>
          </cell>
          <cell r="B2" t="str">
            <v>CORPAY</v>
          </cell>
          <cell r="C2">
            <v>229.9699</v>
          </cell>
          <cell r="E2">
            <v>21.907</v>
          </cell>
          <cell r="F2">
            <v>45.387559999999993</v>
          </cell>
        </row>
        <row r="3">
          <cell r="A3" t="str">
            <v>FOUR.N</v>
          </cell>
          <cell r="B3" t="str">
            <v>SHIFT4 PAYMENTS</v>
          </cell>
          <cell r="C3">
            <v>79.968299999999999</v>
          </cell>
          <cell r="E3">
            <v>37.899700000000003</v>
          </cell>
          <cell r="F3">
            <v>45.387559999999993</v>
          </cell>
        </row>
        <row r="4">
          <cell r="A4" t="str">
            <v>WEX.N</v>
          </cell>
          <cell r="B4" t="str">
            <v>WEX</v>
          </cell>
          <cell r="C4">
            <v>58.7119</v>
          </cell>
          <cell r="E4">
            <v>19.1556</v>
          </cell>
          <cell r="F4">
            <v>45.387559999999993</v>
          </cell>
        </row>
        <row r="5">
          <cell r="A5" t="str">
            <v>VRRM.O</v>
          </cell>
          <cell r="B5" t="str">
            <v>VERRA MOBILITY</v>
          </cell>
          <cell r="C5">
            <v>39.645899999999997</v>
          </cell>
          <cell r="E5">
            <v>101.68219999999999</v>
          </cell>
          <cell r="F5">
            <v>45.387559999999993</v>
          </cell>
        </row>
        <row r="6">
          <cell r="A6" t="str">
            <v>PAYS.O</v>
          </cell>
          <cell r="B6" t="str">
            <v>PAYSIGN</v>
          </cell>
          <cell r="C6">
            <v>2.8206000000000002</v>
          </cell>
          <cell r="E6">
            <v>46.293300000000002</v>
          </cell>
          <cell r="F6">
            <v>45.387559999999993</v>
          </cell>
        </row>
      </sheetData>
      <sheetData sheetId="1" refreshError="1"/>
      <sheetData sheetId="2"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6"/>
  <sheetViews>
    <sheetView tabSelected="1" topLeftCell="H1" workbookViewId="0">
      <selection activeCell="K8" sqref="K8"/>
    </sheetView>
  </sheetViews>
  <sheetFormatPr baseColWidth="10" defaultColWidth="9.1640625" defaultRowHeight="14"/>
  <cols>
    <col min="1" max="1" width="22.5" customWidth="1"/>
    <col min="2" max="2" width="18.33203125" customWidth="1"/>
    <col min="4" max="4" width="22.83203125" customWidth="1"/>
    <col min="6" max="7" width="12.5" customWidth="1"/>
    <col min="8" max="8" width="13"/>
    <col min="9" max="9" width="16" customWidth="1"/>
    <col min="10" max="10" width="16.33203125" customWidth="1"/>
    <col min="11" max="11" width="13.5" customWidth="1"/>
    <col min="12" max="12" width="16.6640625" customWidth="1"/>
    <col min="13" max="13" width="17.33203125" customWidth="1"/>
    <col min="14" max="14" width="18" customWidth="1"/>
    <col min="15" max="15" width="21" customWidth="1"/>
    <col min="17" max="17" width="15.5" customWidth="1"/>
    <col min="18" max="18" width="17.1640625" customWidth="1"/>
    <col min="19" max="19" width="16.6640625" customWidth="1"/>
    <col min="20" max="20" width="19.33203125" customWidth="1"/>
    <col min="21" max="21" width="17.83203125" customWidth="1"/>
    <col min="22" max="22" width="15.33203125" customWidth="1"/>
    <col min="23" max="23" width="22.5" customWidth="1"/>
  </cols>
  <sheetData>
    <row r="1" spans="1:23">
      <c r="A1" s="1" t="s">
        <v>0</v>
      </c>
      <c r="B1" t="s">
        <v>1</v>
      </c>
      <c r="C1" s="2"/>
      <c r="E1" s="6" t="s">
        <v>2</v>
      </c>
      <c r="F1" s="1" t="s">
        <v>3</v>
      </c>
      <c r="G1" t="s">
        <v>4</v>
      </c>
      <c r="H1" t="s">
        <v>5</v>
      </c>
      <c r="I1" t="s">
        <v>6</v>
      </c>
      <c r="J1" t="s">
        <v>7</v>
      </c>
      <c r="K1" t="s">
        <v>8</v>
      </c>
      <c r="L1" t="s">
        <v>9</v>
      </c>
      <c r="M1" t="s">
        <v>10</v>
      </c>
      <c r="N1" t="s">
        <v>11</v>
      </c>
      <c r="O1" t="s">
        <v>12</v>
      </c>
      <c r="Q1" s="1" t="s">
        <v>13</v>
      </c>
      <c r="R1" s="1" t="s">
        <v>14</v>
      </c>
      <c r="S1" s="1" t="s">
        <v>15</v>
      </c>
      <c r="T1" s="1" t="s">
        <v>16</v>
      </c>
      <c r="U1" s="1" t="s">
        <v>17</v>
      </c>
      <c r="W1" s="1" t="s">
        <v>0</v>
      </c>
    </row>
    <row r="2" spans="1:23" ht="100">
      <c r="B2" t="s">
        <v>18</v>
      </c>
      <c r="C2" s="2"/>
      <c r="D2" s="3" t="str">
        <f>"https://img.logo.dev/ticker/"&amp;C2&amp;"?token="&amp;$E$2&amp;"&amp;format=png&amp;size=1024"</f>
        <v>https://img.logo.dev/ticker/?token=pk_FJ9NGdqpQP-_T1hBQT4O5A&amp;format=png&amp;size=1024</v>
      </c>
      <c r="E2" s="6" t="s">
        <v>19</v>
      </c>
      <c r="F2" t="s">
        <v>20</v>
      </c>
      <c r="G2" t="s">
        <v>21</v>
      </c>
      <c r="H2" s="7" t="s">
        <v>22</v>
      </c>
      <c r="I2" s="7" t="s">
        <v>23</v>
      </c>
      <c r="J2" s="7" t="s">
        <v>24</v>
      </c>
      <c r="K2" s="5" t="s">
        <v>25</v>
      </c>
      <c r="L2" s="7" t="s">
        <v>26</v>
      </c>
      <c r="M2" s="20" t="s">
        <v>39</v>
      </c>
      <c r="N2" s="20" t="s">
        <v>40</v>
      </c>
      <c r="O2" s="5" t="s">
        <v>27</v>
      </c>
      <c r="P2" s="5" t="s">
        <v>28</v>
      </c>
      <c r="Q2" s="7" t="s">
        <v>29</v>
      </c>
      <c r="R2" s="7" t="s">
        <v>30</v>
      </c>
      <c r="S2" s="7" t="s">
        <v>31</v>
      </c>
      <c r="T2" s="7" t="s">
        <v>32</v>
      </c>
      <c r="U2" s="7" t="s">
        <v>33</v>
      </c>
      <c r="V2" s="5" t="s">
        <v>34</v>
      </c>
    </row>
    <row r="3" spans="1:23" ht="139" customHeight="1">
      <c r="A3" t="e" vm="1">
        <f ca="1">_xlfn.IMAGE(D3,"",3,160,160)</f>
        <v>#NAME?</v>
      </c>
      <c r="B3" s="4" t="s">
        <v>43</v>
      </c>
      <c r="C3" s="2" t="str">
        <f t="shared" ref="C3:C9" si="0">UPPER(LEFT(B3,FIND(".",B3&amp;".")-1))</f>
        <v>9690</v>
      </c>
      <c r="D3" s="3" t="str">
        <f t="shared" ref="D3:D10" si="1">"https://img.logo.dev/ticker/"&amp;C3&amp;"?token="&amp;$E$2&amp;"&amp;format=png&amp;size=1024"</f>
        <v>https://img.logo.dev/ticker/9690?token=pk_FJ9NGdqpQP-_T1hBQT4O5A&amp;format=png&amp;size=1024</v>
      </c>
      <c r="F3" s="4" t="s">
        <v>49</v>
      </c>
      <c r="G3" s="21">
        <v>328.26</v>
      </c>
      <c r="H3" s="21">
        <v>718.3827897768</v>
      </c>
      <c r="I3" s="21">
        <v>51.057765960693402</v>
      </c>
      <c r="J3" s="21">
        <v>3.5350004417872301</v>
      </c>
      <c r="K3" s="8">
        <v>42853</v>
      </c>
      <c r="L3" s="22">
        <v>2.25</v>
      </c>
      <c r="M3" s="22">
        <v>203.22</v>
      </c>
      <c r="N3" s="22">
        <v>14.07</v>
      </c>
      <c r="O3" s="5" t="s">
        <v>57</v>
      </c>
      <c r="P3" s="5" t="s">
        <v>35</v>
      </c>
      <c r="Q3" s="21">
        <v>11.649900000000001</v>
      </c>
      <c r="R3" s="21">
        <v>35.28</v>
      </c>
      <c r="S3" s="21">
        <v>38.99</v>
      </c>
      <c r="T3" s="21">
        <v>-8.68</v>
      </c>
      <c r="U3" s="21">
        <v>2.61</v>
      </c>
      <c r="V3" s="9">
        <v>0</v>
      </c>
    </row>
    <row r="4" spans="1:23" ht="107" customHeight="1">
      <c r="A4" t="e" vm="1">
        <f ca="1">_xlfn.IMAGE(D4,"",3,160,160)</f>
        <v>#NAME?</v>
      </c>
      <c r="B4" s="4" t="s">
        <v>44</v>
      </c>
      <c r="C4" s="2" t="str">
        <f t="shared" si="0"/>
        <v>3669</v>
      </c>
      <c r="D4" s="3" t="str">
        <f t="shared" si="1"/>
        <v>https://img.logo.dev/ticker/3669?token=pk_FJ9NGdqpQP-_T1hBQT4O5A&amp;format=png&amp;size=1024</v>
      </c>
      <c r="F4" s="4" t="s">
        <v>50</v>
      </c>
      <c r="G4" s="21">
        <v>193.58</v>
      </c>
      <c r="H4" s="21">
        <v>67.192659460399994</v>
      </c>
      <c r="I4" s="21">
        <v>10.3516654968262</v>
      </c>
      <c r="J4" s="21">
        <v>0.24317500908386799</v>
      </c>
      <c r="K4" s="8">
        <v>29707</v>
      </c>
      <c r="L4" s="22">
        <v>0.08</v>
      </c>
      <c r="M4" s="22">
        <v>276.31400000000002</v>
      </c>
      <c r="N4" s="22">
        <v>6.4909999999999997</v>
      </c>
      <c r="O4" s="5" t="s">
        <v>58</v>
      </c>
      <c r="P4" s="5" t="s">
        <v>35</v>
      </c>
      <c r="Q4" s="21">
        <v>-6.0670000000000002</v>
      </c>
      <c r="R4" s="21">
        <v>-16.765000000000001</v>
      </c>
      <c r="S4" s="21">
        <v>-11.54</v>
      </c>
      <c r="T4" s="21">
        <v>-1.7250000000000001</v>
      </c>
      <c r="U4" s="21">
        <v>-3.0059999999999998</v>
      </c>
      <c r="V4" s="9">
        <v>0</v>
      </c>
    </row>
    <row r="5" spans="1:23" ht="130" customHeight="1">
      <c r="A5" t="e" vm="1">
        <f ca="1">_xlfn.IMAGE(D5,"",3,160,160)</f>
        <v>#NAME?</v>
      </c>
      <c r="B5" s="4" t="s">
        <v>45</v>
      </c>
      <c r="C5" s="2" t="str">
        <f t="shared" si="0"/>
        <v>2473</v>
      </c>
      <c r="D5" s="3" t="str">
        <f t="shared" si="1"/>
        <v>https://img.logo.dev/ticker/2473?token=pk_FJ9NGdqpQP-_T1hBQT4O5A&amp;format=png&amp;size=1024</v>
      </c>
      <c r="F5" s="4" t="s">
        <v>51</v>
      </c>
      <c r="G5" s="21">
        <v>115.91</v>
      </c>
      <c r="H5" s="21">
        <v>100.287074464266</v>
      </c>
      <c r="I5" s="21">
        <v>28.195491790771499</v>
      </c>
      <c r="J5" s="21">
        <v>2.1248779291238402</v>
      </c>
      <c r="K5" s="8">
        <v>43095</v>
      </c>
      <c r="L5" s="22">
        <v>20.420000000000002</v>
      </c>
      <c r="M5" s="22">
        <v>46.182317194428599</v>
      </c>
      <c r="N5" s="22">
        <v>3.4907591164210099</v>
      </c>
      <c r="O5" s="5" t="s">
        <v>59</v>
      </c>
      <c r="P5" s="5"/>
      <c r="Q5" s="21">
        <v>-0.17411196084231201</v>
      </c>
      <c r="R5" s="21">
        <v>0.72846174804335195</v>
      </c>
      <c r="S5" s="21">
        <v>0.52665131401659804</v>
      </c>
      <c r="T5" s="21">
        <v>-0.38609319861069902</v>
      </c>
      <c r="U5" s="21">
        <v>-0.59438385284625195</v>
      </c>
      <c r="V5" s="5"/>
    </row>
    <row r="6" spans="1:23" ht="106" customHeight="1">
      <c r="A6" t="e" vm="1">
        <f t="shared" ref="A6:A9" ca="1" si="2">_xlfn.IMAGE(D6,"",3,160,160)</f>
        <v>#NAME?</v>
      </c>
      <c r="B6" s="5" t="s">
        <v>46</v>
      </c>
      <c r="C6" s="2" t="str">
        <f t="shared" si="0"/>
        <v>300496</v>
      </c>
      <c r="D6" s="3" t="str">
        <f t="shared" si="1"/>
        <v>https://img.logo.dev/ticker/300496?token=pk_FJ9NGdqpQP-_T1hBQT4O5A&amp;format=png&amp;size=1024</v>
      </c>
      <c r="F6" s="5" t="s">
        <v>52</v>
      </c>
      <c r="G6" s="21">
        <v>70.75</v>
      </c>
      <c r="H6" s="21">
        <v>47.2580650575512</v>
      </c>
      <c r="I6" s="21">
        <v>67.280433654785199</v>
      </c>
      <c r="J6" s="21">
        <v>4.76741364628396</v>
      </c>
      <c r="K6" s="8">
        <v>42348</v>
      </c>
      <c r="L6" s="22">
        <v>5.8174999999999999</v>
      </c>
      <c r="M6" s="23">
        <v>7.4572000000000003</v>
      </c>
      <c r="N6" s="23">
        <v>0.56679999999999997</v>
      </c>
      <c r="O6" s="5" t="s">
        <v>60</v>
      </c>
      <c r="P6" s="5"/>
      <c r="Q6" s="21">
        <v>2.3453071677267099</v>
      </c>
      <c r="R6" s="21">
        <v>0.54142899590633198</v>
      </c>
      <c r="S6" s="21">
        <v>3.6014762141113601</v>
      </c>
      <c r="T6" s="21">
        <v>-0.18507000048004299</v>
      </c>
      <c r="U6" s="21">
        <v>-0.26345473465583402</v>
      </c>
      <c r="V6" s="5"/>
    </row>
    <row r="7" spans="1:23" ht="144" customHeight="1">
      <c r="A7" t="e" vm="1">
        <f t="shared" ca="1" si="2"/>
        <v>#NAME?</v>
      </c>
      <c r="B7" s="5" t="s">
        <v>47</v>
      </c>
      <c r="C7" s="2" t="str">
        <f t="shared" si="0"/>
        <v>002920</v>
      </c>
      <c r="D7" s="3" t="str">
        <f t="shared" si="1"/>
        <v>https://img.logo.dev/ticker/002920?token=pk_FJ9NGdqpQP-_T1hBQT4O5A&amp;format=png&amp;size=1024</v>
      </c>
      <c r="F7" s="5" t="s">
        <v>53</v>
      </c>
      <c r="G7" s="21">
        <v>13.84</v>
      </c>
      <c r="H7" s="21">
        <v>14.626677388445801</v>
      </c>
      <c r="I7" s="21">
        <v>20.642992019653299</v>
      </c>
      <c r="J7" s="21">
        <v>0.67267706110438596</v>
      </c>
      <c r="K7" s="8">
        <v>45195</v>
      </c>
      <c r="L7" s="22">
        <v>13.150423999999999</v>
      </c>
      <c r="M7" s="23">
        <v>38.298900000000003</v>
      </c>
      <c r="N7" s="23">
        <v>2.7890000000000001</v>
      </c>
      <c r="O7" s="5" t="s">
        <v>61</v>
      </c>
      <c r="P7" s="5" t="s">
        <v>62</v>
      </c>
      <c r="Q7" s="21">
        <v>-1.59557387852687</v>
      </c>
      <c r="R7" s="21">
        <v>2.2082861489718799</v>
      </c>
      <c r="S7" s="21">
        <v>1.34390632627861</v>
      </c>
      <c r="T7" s="21">
        <v>1.9057492199302499</v>
      </c>
      <c r="U7" s="21">
        <v>-0.33521785098213802</v>
      </c>
      <c r="V7" s="9">
        <v>0</v>
      </c>
    </row>
    <row r="8" spans="1:23" ht="98" customHeight="1">
      <c r="A8" t="e" vm="1">
        <f t="shared" ca="1" si="2"/>
        <v>#NAME?</v>
      </c>
      <c r="B8" s="5" t="s">
        <v>48</v>
      </c>
      <c r="C8" s="2" t="str">
        <f t="shared" si="0"/>
        <v>CVNA</v>
      </c>
      <c r="D8" s="3" t="str">
        <f t="shared" si="1"/>
        <v>https://img.logo.dev/ticker/CVNA?token=pk_FJ9NGdqpQP-_T1hBQT4O5A&amp;format=png&amp;size=1024</v>
      </c>
      <c r="F8" t="s">
        <v>54</v>
      </c>
      <c r="G8" s="21">
        <v>1.47</v>
      </c>
      <c r="H8" s="21">
        <v>3.4862013595750398</v>
      </c>
      <c r="I8" s="21">
        <v>-0.76699078083038297</v>
      </c>
      <c r="J8" s="21">
        <v>4.1822722217836603E-2</v>
      </c>
      <c r="K8" s="8">
        <v>41102</v>
      </c>
      <c r="L8" s="22">
        <v>13.201452</v>
      </c>
      <c r="M8" s="23">
        <v>136.72999999999999</v>
      </c>
      <c r="N8" s="23">
        <v>2.1</v>
      </c>
      <c r="O8" s="5" t="s">
        <v>63</v>
      </c>
      <c r="P8" s="5" t="s">
        <v>64</v>
      </c>
      <c r="Q8" s="21">
        <v>-4.8908167174975903</v>
      </c>
      <c r="R8" s="21">
        <v>-8.7240177549131896</v>
      </c>
      <c r="S8" s="21">
        <v>-4.0803276570082998</v>
      </c>
      <c r="T8" s="21">
        <v>-1.8051816397701399</v>
      </c>
      <c r="U8" s="21">
        <v>-2.7894566245617902</v>
      </c>
      <c r="V8" s="9">
        <v>0</v>
      </c>
    </row>
    <row r="9" spans="1:23">
      <c r="A9" t="e" vm="1">
        <f t="shared" ca="1" si="2"/>
        <v>#NAME?</v>
      </c>
      <c r="B9" t="s">
        <v>55</v>
      </c>
      <c r="C9" s="2" t="str">
        <f t="shared" si="0"/>
        <v>AN</v>
      </c>
      <c r="D9" s="3" t="str">
        <f t="shared" si="1"/>
        <v>https://img.logo.dev/ticker/AN?token=pk_FJ9NGdqpQP-_T1hBQT4O5A&amp;format=png&amp;size=1024</v>
      </c>
      <c r="F9" t="s">
        <v>56</v>
      </c>
      <c r="G9" s="21">
        <v>1.19</v>
      </c>
      <c r="H9" s="21">
        <v>2.3535058874054098</v>
      </c>
      <c r="I9" s="21">
        <v>39.248565673828097</v>
      </c>
      <c r="J9" s="21">
        <v>1.0661231543934799</v>
      </c>
      <c r="K9" s="8">
        <v>45239</v>
      </c>
      <c r="L9" s="22">
        <v>1.1343749999999999</v>
      </c>
      <c r="M9" s="23">
        <v>267.654</v>
      </c>
      <c r="N9" s="23">
        <v>6.9219999999999997</v>
      </c>
      <c r="O9" s="5" t="s">
        <v>65</v>
      </c>
      <c r="P9" s="5" t="s">
        <v>62</v>
      </c>
      <c r="Q9" s="21">
        <v>-0.24982605097396099</v>
      </c>
      <c r="R9" s="21">
        <v>0.31851090860611397</v>
      </c>
      <c r="S9" s="21">
        <v>0.45203888234787398</v>
      </c>
      <c r="T9" s="21">
        <v>0.32268343993109999</v>
      </c>
      <c r="U9" s="21">
        <v>0.54887040231484097</v>
      </c>
      <c r="V9" s="9">
        <v>0</v>
      </c>
    </row>
    <row r="10" spans="1:23">
      <c r="C10" s="2"/>
      <c r="D10" s="3"/>
    </row>
    <row r="11" spans="1:23">
      <c r="C11" s="2"/>
    </row>
    <row r="12" spans="1:23">
      <c r="C12" s="2"/>
    </row>
    <row r="13" spans="1:23">
      <c r="C13" s="2"/>
    </row>
    <row r="14" spans="1:23">
      <c r="C14" s="2"/>
    </row>
    <row r="15" spans="1:23">
      <c r="C15" s="2"/>
    </row>
    <row r="16" spans="1:23">
      <c r="C16" s="2"/>
    </row>
  </sheetData>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F8CA-7F01-174B-A4FF-A9CD98134EC1}">
  <dimension ref="A1:K59"/>
  <sheetViews>
    <sheetView zoomScale="75" workbookViewId="0">
      <selection activeCell="S40" sqref="S40"/>
    </sheetView>
  </sheetViews>
  <sheetFormatPr baseColWidth="10" defaultRowHeight="14"/>
  <sheetData>
    <row r="1" spans="1:11" ht="17">
      <c r="A1" s="10" t="s">
        <v>18</v>
      </c>
      <c r="B1" s="10" t="s">
        <v>20</v>
      </c>
      <c r="C1" s="11" t="s">
        <v>36</v>
      </c>
      <c r="D1" s="12" t="s">
        <v>37</v>
      </c>
      <c r="E1" s="13" t="s">
        <v>38</v>
      </c>
      <c r="F1" s="12" t="s">
        <v>41</v>
      </c>
      <c r="G1" s="19" t="s">
        <v>42</v>
      </c>
      <c r="H1" s="3"/>
      <c r="I1" s="3"/>
      <c r="J1" s="3"/>
      <c r="K1" s="3"/>
    </row>
    <row r="2" spans="1:11">
      <c r="A2" s="1" t="str">
        <f>Sheet1!B3</f>
        <v>9690.HK</v>
      </c>
      <c r="B2" s="3" t="str">
        <f>Sheet1!F3</f>
        <v>途虎-W</v>
      </c>
      <c r="C2" s="24">
        <f>Sheet1!H3</f>
        <v>718.3827897768</v>
      </c>
      <c r="D2" s="25">
        <f>Sheet1!I3</f>
        <v>51.057765960693402</v>
      </c>
      <c r="E2" s="14">
        <f>Sheet1!J3</f>
        <v>3.5350004417872301</v>
      </c>
      <c r="F2" s="14">
        <f>G2</f>
        <v>30.858560545103899</v>
      </c>
      <c r="G2" s="14">
        <f>AVERAGE(D2:D8)</f>
        <v>30.858560545103899</v>
      </c>
      <c r="H2" s="3"/>
      <c r="I2" s="3"/>
      <c r="J2" s="3"/>
      <c r="K2" s="3"/>
    </row>
    <row r="3" spans="1:11">
      <c r="A3" s="1" t="str">
        <f>Sheet1!B4</f>
        <v>3669.HK</v>
      </c>
      <c r="B3" s="3" t="str">
        <f>Sheet1!F4</f>
        <v>永达汽车</v>
      </c>
      <c r="C3" s="24">
        <f>Sheet1!H4</f>
        <v>67.192659460399994</v>
      </c>
      <c r="D3" s="25">
        <f>Sheet1!I4</f>
        <v>10.3516654968262</v>
      </c>
      <c r="E3" s="14">
        <f>Sheet1!J4</f>
        <v>0.24317500908386799</v>
      </c>
      <c r="F3" s="14">
        <f>G2</f>
        <v>30.858560545103899</v>
      </c>
      <c r="G3" s="3"/>
      <c r="H3" s="3"/>
      <c r="I3" s="3"/>
      <c r="J3" s="3"/>
      <c r="K3" s="3"/>
    </row>
    <row r="4" spans="1:11">
      <c r="A4" s="1" t="str">
        <f>Sheet1!B5</f>
        <v>2473.HK</v>
      </c>
      <c r="B4" s="3" t="str">
        <f>Sheet1!F5</f>
        <v>喜相逢集团</v>
      </c>
      <c r="C4" s="24">
        <f>Sheet1!H5</f>
        <v>100.287074464266</v>
      </c>
      <c r="D4" s="25">
        <f>Sheet1!I5</f>
        <v>28.195491790771499</v>
      </c>
      <c r="E4" s="14">
        <f>Sheet1!J5</f>
        <v>2.1248779291238402</v>
      </c>
      <c r="F4" s="14">
        <f>G2</f>
        <v>30.858560545103899</v>
      </c>
      <c r="G4" s="3"/>
      <c r="H4" s="3"/>
      <c r="I4" s="3"/>
      <c r="J4" s="3"/>
      <c r="K4" s="3"/>
    </row>
    <row r="5" spans="1:11">
      <c r="A5" s="1" t="str">
        <f>Sheet1!B6</f>
        <v>300496.SZ</v>
      </c>
      <c r="B5" s="3" t="str">
        <f>Sheet1!F6</f>
        <v>中科创达</v>
      </c>
      <c r="C5" s="24">
        <f>Sheet1!H6</f>
        <v>47.2580650575512</v>
      </c>
      <c r="D5" s="25">
        <f>Sheet1!I6</f>
        <v>67.280433654785199</v>
      </c>
      <c r="E5" s="14">
        <f>Sheet1!J6</f>
        <v>4.76741364628396</v>
      </c>
      <c r="F5" s="14">
        <f>G2</f>
        <v>30.858560545103899</v>
      </c>
      <c r="G5" s="3"/>
      <c r="H5" s="3"/>
      <c r="I5" s="3"/>
      <c r="J5" s="3"/>
      <c r="K5" s="3"/>
    </row>
    <row r="6" spans="1:11">
      <c r="A6" s="1" t="str">
        <f>Sheet1!B7</f>
        <v>002920.SZ</v>
      </c>
      <c r="B6" s="3" t="str">
        <f>Sheet1!F7</f>
        <v>德赛西威</v>
      </c>
      <c r="C6" s="24">
        <f>Sheet1!H7</f>
        <v>14.626677388445801</v>
      </c>
      <c r="D6" s="25">
        <f>Sheet1!I7</f>
        <v>20.642992019653299</v>
      </c>
      <c r="E6" s="14">
        <f>Sheet1!J7</f>
        <v>0.67267706110438596</v>
      </c>
      <c r="F6" s="14">
        <f>G2</f>
        <v>30.858560545103899</v>
      </c>
      <c r="G6" s="3"/>
      <c r="H6" s="3"/>
      <c r="I6" s="3"/>
      <c r="J6" s="3"/>
      <c r="K6" s="3"/>
    </row>
    <row r="7" spans="1:11">
      <c r="A7" s="1" t="str">
        <f>Sheet1!B8</f>
        <v>CVNA.N</v>
      </c>
      <c r="B7" s="3" t="str">
        <f>Sheet1!F8</f>
        <v>CARVANA</v>
      </c>
      <c r="C7" s="24">
        <f>Sheet1!H8</f>
        <v>3.4862013595750398</v>
      </c>
      <c r="D7" s="25">
        <f>Sheet1!I8</f>
        <v>-0.76699078083038297</v>
      </c>
      <c r="E7" s="14">
        <f>Sheet1!J8</f>
        <v>4.1822722217836603E-2</v>
      </c>
      <c r="F7" s="14">
        <f>G2</f>
        <v>30.858560545103899</v>
      </c>
      <c r="G7" s="3"/>
      <c r="H7" s="3"/>
      <c r="I7" s="3"/>
      <c r="J7" s="3"/>
      <c r="K7" s="3"/>
    </row>
    <row r="8" spans="1:11">
      <c r="A8" s="1" t="str">
        <f>Sheet1!B9</f>
        <v>AN.N</v>
      </c>
      <c r="B8" s="3" t="str">
        <f>Sheet1!F9</f>
        <v>全美汽车租赁</v>
      </c>
      <c r="C8" s="24">
        <f>Sheet1!H9</f>
        <v>2.3535058874054098</v>
      </c>
      <c r="D8" s="25">
        <f>Sheet1!I9</f>
        <v>39.248565673828097</v>
      </c>
      <c r="E8" s="14">
        <f>Sheet1!J9</f>
        <v>1.0661231543934799</v>
      </c>
      <c r="F8" s="14">
        <f>G2</f>
        <v>30.858560545103899</v>
      </c>
      <c r="G8" s="3"/>
      <c r="H8" s="3"/>
      <c r="I8" s="3"/>
      <c r="J8" s="3"/>
      <c r="K8" s="3"/>
    </row>
    <row r="9" spans="1:11" ht="15">
      <c r="A9" s="10"/>
      <c r="B9" s="15"/>
      <c r="C9" s="16"/>
      <c r="D9" s="3"/>
      <c r="E9" s="3"/>
      <c r="F9" s="14"/>
      <c r="G9" s="3"/>
      <c r="H9" s="3"/>
      <c r="I9" s="3"/>
      <c r="J9" s="3"/>
      <c r="K9" s="3"/>
    </row>
    <row r="10" spans="1:11">
      <c r="A10" s="3"/>
      <c r="B10" s="3"/>
      <c r="C10" s="3"/>
      <c r="D10" s="3"/>
      <c r="E10" s="14"/>
      <c r="F10" s="3"/>
      <c r="G10" s="3"/>
      <c r="H10" s="3"/>
      <c r="I10" s="3"/>
      <c r="J10" s="3"/>
      <c r="K10" s="3"/>
    </row>
    <row r="11" spans="1:11">
      <c r="A11" s="3"/>
      <c r="B11" s="3"/>
      <c r="C11" s="3"/>
      <c r="D11" s="3"/>
      <c r="E11" s="3"/>
      <c r="F11" s="3"/>
      <c r="G11" s="3"/>
      <c r="H11" s="3"/>
      <c r="I11" s="3"/>
      <c r="J11" s="3"/>
      <c r="K11" s="3"/>
    </row>
    <row r="12" spans="1:11">
      <c r="A12" s="3"/>
      <c r="B12" s="3"/>
      <c r="C12" s="3"/>
      <c r="D12" s="3"/>
      <c r="E12" s="3"/>
      <c r="F12" s="3"/>
      <c r="G12" s="3"/>
      <c r="H12" s="3"/>
      <c r="I12" s="3"/>
      <c r="J12" s="3"/>
      <c r="K12" s="3"/>
    </row>
    <row r="13" spans="1:11">
      <c r="A13" s="3"/>
      <c r="B13" s="3"/>
      <c r="C13" s="3"/>
      <c r="D13" s="17"/>
      <c r="E13" s="17"/>
      <c r="F13" s="17"/>
      <c r="G13" s="3"/>
      <c r="H13" s="3"/>
      <c r="I13" s="3"/>
      <c r="J13" s="3"/>
      <c r="K13" s="3"/>
    </row>
    <row r="14" spans="1:11">
      <c r="A14" s="3"/>
      <c r="B14" s="3"/>
      <c r="C14" s="3"/>
      <c r="D14" s="3"/>
      <c r="E14" s="3"/>
      <c r="F14" s="3"/>
      <c r="G14" s="3"/>
      <c r="H14" s="3"/>
      <c r="I14" s="3"/>
      <c r="J14" s="3"/>
      <c r="K14" s="3"/>
    </row>
    <row r="15" spans="1:11">
      <c r="A15" s="3"/>
      <c r="B15" s="3"/>
      <c r="C15" s="3"/>
      <c r="D15" s="3"/>
      <c r="E15" s="3"/>
      <c r="F15" s="3"/>
      <c r="G15" s="3"/>
      <c r="H15" s="3"/>
      <c r="I15" s="3"/>
      <c r="J15" s="3"/>
      <c r="K15" s="3"/>
    </row>
    <row r="16" spans="1:11">
      <c r="A16" s="3"/>
      <c r="B16" s="3"/>
      <c r="C16" s="3"/>
      <c r="D16" s="3"/>
      <c r="E16" s="3"/>
      <c r="F16" s="3"/>
      <c r="G16" s="3"/>
      <c r="H16" s="3"/>
      <c r="I16" s="3"/>
      <c r="J16" s="3"/>
      <c r="K16" s="3"/>
    </row>
    <row r="17" spans="1:11">
      <c r="A17" s="3"/>
      <c r="B17" s="3"/>
      <c r="C17" s="18"/>
      <c r="D17" s="3"/>
      <c r="E17" s="3"/>
      <c r="F17" s="3"/>
      <c r="G17" s="3"/>
      <c r="H17" s="3"/>
      <c r="I17" s="3"/>
      <c r="J17" s="3"/>
      <c r="K17" s="3"/>
    </row>
    <row r="18" spans="1:11">
      <c r="A18" s="3"/>
      <c r="B18" s="3"/>
      <c r="C18" s="18"/>
      <c r="D18" s="3"/>
      <c r="E18" s="3"/>
      <c r="F18" s="3"/>
      <c r="G18" s="3"/>
      <c r="H18" s="3"/>
      <c r="I18" s="3"/>
      <c r="J18" s="3"/>
      <c r="K18" s="3"/>
    </row>
    <row r="19" spans="1:11">
      <c r="A19" s="3"/>
      <c r="B19" s="3"/>
      <c r="C19" s="18"/>
      <c r="D19" s="3"/>
      <c r="E19" s="3"/>
      <c r="F19" s="3"/>
      <c r="G19" s="3"/>
      <c r="H19" s="3"/>
      <c r="I19" s="3"/>
      <c r="J19" s="3"/>
      <c r="K19" s="3"/>
    </row>
    <row r="20" spans="1:11">
      <c r="A20" s="3"/>
      <c r="B20" s="3"/>
      <c r="C20" s="18"/>
      <c r="D20" s="3"/>
      <c r="E20" s="3"/>
      <c r="F20" s="3"/>
      <c r="G20" s="3"/>
      <c r="H20" s="3"/>
      <c r="I20" s="3"/>
      <c r="J20" s="3"/>
      <c r="K20" s="3"/>
    </row>
    <row r="21" spans="1:11">
      <c r="A21" s="3"/>
      <c r="B21" s="3"/>
      <c r="C21" s="18"/>
      <c r="D21" s="3"/>
      <c r="E21" s="3"/>
      <c r="F21" s="3"/>
      <c r="G21" s="3"/>
      <c r="H21" s="3"/>
      <c r="I21" s="3"/>
      <c r="J21" s="3"/>
      <c r="K21" s="3"/>
    </row>
    <row r="22" spans="1:11">
      <c r="A22" s="3"/>
      <c r="B22" s="3"/>
      <c r="C22" s="3"/>
      <c r="D22" s="3"/>
      <c r="E22" s="3"/>
      <c r="F22" s="3"/>
      <c r="G22" s="3"/>
      <c r="H22" s="3"/>
      <c r="I22" s="3"/>
      <c r="J22" s="3"/>
      <c r="K22" s="3"/>
    </row>
    <row r="23" spans="1:11">
      <c r="A23" s="3"/>
      <c r="B23" s="3"/>
      <c r="C23" s="3"/>
      <c r="D23" s="3"/>
      <c r="E23" s="3"/>
      <c r="F23" s="3"/>
      <c r="G23" s="3"/>
      <c r="H23" s="3"/>
      <c r="I23" s="3"/>
      <c r="J23" s="3"/>
      <c r="K23" s="3"/>
    </row>
    <row r="24" spans="1:11">
      <c r="A24" s="3"/>
      <c r="B24" s="3"/>
      <c r="C24" s="3"/>
      <c r="D24" s="3"/>
      <c r="E24" s="3"/>
      <c r="F24" s="3"/>
      <c r="G24" s="3"/>
      <c r="H24" s="3"/>
      <c r="I24" s="3"/>
      <c r="J24" s="3"/>
      <c r="K24" s="3"/>
    </row>
    <row r="25" spans="1:11">
      <c r="A25" s="3"/>
      <c r="B25" s="3"/>
      <c r="C25" s="3"/>
      <c r="D25" s="3"/>
      <c r="E25" s="3"/>
      <c r="F25" s="3"/>
      <c r="G25" s="3"/>
      <c r="H25" s="3"/>
      <c r="I25" s="3"/>
      <c r="J25" s="3"/>
      <c r="K25" s="3"/>
    </row>
    <row r="26" spans="1:11">
      <c r="A26" s="3"/>
      <c r="B26" s="3"/>
      <c r="C26" s="3"/>
      <c r="D26" s="3"/>
      <c r="E26" s="3"/>
      <c r="F26" s="3"/>
      <c r="G26" s="3"/>
      <c r="H26" s="3"/>
      <c r="I26" s="3"/>
      <c r="J26" s="3"/>
      <c r="K26" s="3"/>
    </row>
    <row r="27" spans="1:11">
      <c r="A27" s="3"/>
      <c r="B27" s="3"/>
      <c r="C27" s="3"/>
      <c r="D27" s="3"/>
      <c r="E27" s="3"/>
      <c r="F27" s="3"/>
      <c r="G27" s="3"/>
      <c r="H27" s="3"/>
      <c r="I27" s="3"/>
      <c r="J27" s="3"/>
      <c r="K27" s="3"/>
    </row>
    <row r="28" spans="1:11">
      <c r="A28" s="3"/>
      <c r="B28" s="3"/>
      <c r="C28" s="3"/>
      <c r="D28" s="3"/>
      <c r="E28" s="3"/>
      <c r="F28" s="3"/>
      <c r="G28" s="3"/>
      <c r="H28" s="3"/>
      <c r="I28" s="3"/>
      <c r="J28" s="3"/>
      <c r="K28" s="3"/>
    </row>
    <row r="29" spans="1:11">
      <c r="A29" s="3"/>
      <c r="B29" s="3"/>
      <c r="C29" s="3"/>
      <c r="D29" s="3"/>
      <c r="E29" s="3"/>
      <c r="F29" s="3"/>
      <c r="G29" s="3"/>
      <c r="H29" s="3"/>
      <c r="I29" s="3"/>
      <c r="J29" s="3"/>
      <c r="K29" s="3"/>
    </row>
    <row r="30" spans="1:11">
      <c r="A30" s="3"/>
      <c r="B30" s="3"/>
      <c r="C30" s="3"/>
      <c r="D30" s="3"/>
      <c r="E30" s="3"/>
      <c r="F30" s="3"/>
      <c r="G30" s="3"/>
      <c r="H30" s="3"/>
      <c r="I30" s="3"/>
      <c r="J30" s="3"/>
      <c r="K30" s="3"/>
    </row>
    <row r="31" spans="1:11">
      <c r="A31" s="3"/>
      <c r="B31" s="3"/>
      <c r="C31" s="3"/>
      <c r="D31" s="3"/>
      <c r="E31" s="3"/>
      <c r="F31" s="3"/>
      <c r="G31" s="3"/>
      <c r="H31" s="3"/>
      <c r="I31" s="3"/>
      <c r="J31" s="3"/>
      <c r="K31" s="3"/>
    </row>
    <row r="32" spans="1:11">
      <c r="A32" s="3"/>
      <c r="B32" s="3"/>
      <c r="C32" s="3"/>
      <c r="D32" s="3"/>
      <c r="E32" s="3"/>
      <c r="F32" s="3"/>
      <c r="G32" s="3"/>
      <c r="H32" s="3"/>
      <c r="I32" s="3"/>
      <c r="J32" s="3"/>
      <c r="K32" s="3"/>
    </row>
    <row r="33" spans="1:11">
      <c r="A33" s="3"/>
      <c r="B33" s="3"/>
      <c r="C33" s="3"/>
      <c r="D33" s="3"/>
      <c r="E33" s="3"/>
      <c r="F33" s="3"/>
      <c r="G33" s="3"/>
      <c r="H33" s="3"/>
      <c r="I33" s="3"/>
      <c r="J33" s="3"/>
      <c r="K33" s="3"/>
    </row>
    <row r="34" spans="1:11">
      <c r="A34" s="3"/>
      <c r="B34" s="3"/>
      <c r="C34" s="3"/>
      <c r="D34" s="3"/>
      <c r="E34" s="3"/>
      <c r="F34" s="3"/>
      <c r="G34" s="3"/>
      <c r="H34" s="3"/>
      <c r="I34" s="3"/>
      <c r="J34" s="3"/>
      <c r="K34" s="3"/>
    </row>
    <row r="35" spans="1:11">
      <c r="A35" s="3"/>
      <c r="B35" s="3"/>
      <c r="C35" s="3"/>
      <c r="D35" s="3"/>
      <c r="E35" s="3"/>
      <c r="F35" s="3"/>
      <c r="G35" s="3"/>
      <c r="H35" s="3"/>
      <c r="I35" s="3"/>
      <c r="J35" s="3"/>
      <c r="K35" s="3"/>
    </row>
    <row r="36" spans="1:11">
      <c r="A36" s="3"/>
      <c r="B36" s="3"/>
      <c r="C36" s="3"/>
      <c r="D36" s="3"/>
      <c r="E36" s="3"/>
      <c r="F36" s="3"/>
      <c r="G36" s="3"/>
      <c r="H36" s="3"/>
      <c r="I36" s="3"/>
      <c r="J36" s="3"/>
      <c r="K36" s="3"/>
    </row>
    <row r="37" spans="1:11">
      <c r="A37" s="3"/>
      <c r="B37" s="3"/>
      <c r="C37" s="3"/>
      <c r="D37" s="3"/>
      <c r="E37" s="3"/>
      <c r="F37" s="3"/>
      <c r="G37" s="3"/>
      <c r="H37" s="3"/>
      <c r="I37" s="3"/>
      <c r="J37" s="3"/>
      <c r="K37" s="3"/>
    </row>
    <row r="38" spans="1:11">
      <c r="A38" s="3"/>
      <c r="B38" s="3"/>
      <c r="C38" s="3"/>
      <c r="D38" s="3"/>
      <c r="E38" s="3"/>
      <c r="F38" s="3"/>
      <c r="G38" s="3"/>
      <c r="H38" s="3"/>
      <c r="I38" s="3"/>
      <c r="J38" s="3"/>
      <c r="K38" s="3"/>
    </row>
    <row r="39" spans="1:11">
      <c r="A39" s="3"/>
      <c r="B39" s="3"/>
      <c r="C39" s="3"/>
      <c r="D39" s="3"/>
      <c r="E39" s="3"/>
      <c r="F39" s="3"/>
      <c r="G39" s="3"/>
      <c r="H39" s="3"/>
      <c r="I39" s="3"/>
      <c r="J39" s="3"/>
      <c r="K39" s="3"/>
    </row>
    <row r="40" spans="1:11">
      <c r="A40" s="3"/>
      <c r="B40" s="3"/>
      <c r="C40" s="3"/>
      <c r="D40" s="3"/>
      <c r="E40" s="3"/>
      <c r="F40" s="3"/>
      <c r="G40" s="3"/>
      <c r="H40" s="3"/>
      <c r="I40" s="3"/>
      <c r="J40" s="3"/>
      <c r="K40" s="3"/>
    </row>
    <row r="41" spans="1:11">
      <c r="A41" s="3"/>
      <c r="B41" s="3"/>
      <c r="C41" s="3"/>
      <c r="D41" s="3"/>
      <c r="E41" s="3"/>
      <c r="F41" s="3"/>
      <c r="G41" s="3"/>
      <c r="H41" s="3"/>
      <c r="I41" s="3"/>
      <c r="J41" s="3"/>
      <c r="K41" s="3"/>
    </row>
    <row r="42" spans="1:11">
      <c r="A42" s="3"/>
      <c r="B42" s="3"/>
      <c r="C42" s="3"/>
      <c r="D42" s="3"/>
      <c r="E42" s="3"/>
      <c r="F42" s="3"/>
      <c r="G42" s="3"/>
      <c r="H42" s="3"/>
      <c r="I42" s="3"/>
      <c r="J42" s="3"/>
      <c r="K42" s="3"/>
    </row>
    <row r="43" spans="1:11">
      <c r="A43" s="3"/>
      <c r="B43" s="3"/>
      <c r="C43" s="3"/>
      <c r="D43" s="3"/>
      <c r="E43" s="3"/>
      <c r="F43" s="3"/>
      <c r="G43" s="3"/>
      <c r="H43" s="3"/>
      <c r="I43" s="3"/>
      <c r="J43" s="3"/>
      <c r="K43" s="3"/>
    </row>
    <row r="44" spans="1:11">
      <c r="A44" s="3"/>
      <c r="B44" s="3"/>
      <c r="C44" s="3"/>
      <c r="D44" s="3"/>
      <c r="E44" s="3"/>
      <c r="F44" s="3"/>
      <c r="G44" s="3"/>
      <c r="H44" s="3"/>
      <c r="I44" s="3"/>
      <c r="J44" s="3"/>
      <c r="K44" s="3"/>
    </row>
    <row r="45" spans="1:11">
      <c r="A45" s="3"/>
      <c r="B45" s="3"/>
      <c r="C45" s="3"/>
      <c r="D45" s="3"/>
      <c r="E45" s="3"/>
      <c r="F45" s="3"/>
      <c r="G45" s="3"/>
      <c r="H45" s="3"/>
      <c r="I45" s="3"/>
      <c r="J45" s="3"/>
      <c r="K45" s="3"/>
    </row>
    <row r="46" spans="1:11">
      <c r="A46" s="3"/>
      <c r="B46" s="3"/>
      <c r="C46" s="3"/>
      <c r="D46" s="3"/>
      <c r="E46" s="3"/>
      <c r="F46" s="3"/>
      <c r="G46" s="3"/>
      <c r="H46" s="3"/>
      <c r="I46" s="3"/>
      <c r="J46" s="3"/>
      <c r="K46" s="3"/>
    </row>
    <row r="47" spans="1:11">
      <c r="A47" s="3"/>
      <c r="B47" s="3"/>
      <c r="C47" s="3"/>
      <c r="D47" s="3"/>
      <c r="E47" s="3"/>
      <c r="F47" s="3"/>
      <c r="G47" s="3"/>
      <c r="H47" s="3"/>
      <c r="I47" s="3"/>
      <c r="J47" s="3"/>
      <c r="K47" s="3"/>
    </row>
    <row r="48" spans="1:11">
      <c r="A48" s="3"/>
      <c r="B48" s="3"/>
      <c r="C48" s="3"/>
      <c r="D48" s="3"/>
      <c r="E48" s="3"/>
      <c r="F48" s="3"/>
      <c r="G48" s="3"/>
      <c r="H48" s="3"/>
      <c r="I48" s="3"/>
      <c r="J48" s="3"/>
      <c r="K48" s="3"/>
    </row>
    <row r="49" spans="1:11">
      <c r="A49" s="3"/>
      <c r="B49" s="3"/>
      <c r="C49" s="3"/>
      <c r="D49" s="3"/>
      <c r="E49" s="3"/>
      <c r="F49" s="3"/>
      <c r="G49" s="3"/>
      <c r="H49" s="3"/>
      <c r="I49" s="3"/>
      <c r="J49" s="3"/>
      <c r="K49" s="3"/>
    </row>
    <row r="50" spans="1:11">
      <c r="A50" s="3"/>
      <c r="B50" s="3"/>
      <c r="C50" s="3"/>
      <c r="D50" s="3"/>
      <c r="E50" s="3"/>
      <c r="F50" s="3"/>
      <c r="G50" s="3"/>
      <c r="H50" s="3"/>
      <c r="I50" s="3"/>
      <c r="J50" s="3"/>
      <c r="K50" s="3"/>
    </row>
    <row r="51" spans="1:11">
      <c r="A51" s="3"/>
      <c r="B51" s="3"/>
      <c r="C51" s="3"/>
      <c r="D51" s="3"/>
      <c r="E51" s="3"/>
      <c r="F51" s="3"/>
      <c r="G51" s="3"/>
      <c r="H51" s="3"/>
      <c r="I51" s="3"/>
      <c r="J51" s="3"/>
      <c r="K51" s="3"/>
    </row>
    <row r="52" spans="1:11">
      <c r="A52" s="3"/>
      <c r="B52" s="3"/>
      <c r="C52" s="3"/>
      <c r="D52" s="3"/>
      <c r="E52" s="3"/>
      <c r="F52" s="3"/>
      <c r="G52" s="3"/>
      <c r="H52" s="3"/>
      <c r="I52" s="3"/>
      <c r="J52" s="3"/>
      <c r="K52" s="3"/>
    </row>
    <row r="53" spans="1:11">
      <c r="A53" s="3"/>
      <c r="B53" s="3"/>
      <c r="C53" s="3"/>
      <c r="D53" s="3"/>
      <c r="E53" s="3"/>
      <c r="F53" s="3"/>
      <c r="G53" s="3"/>
      <c r="H53" s="3"/>
      <c r="I53" s="3"/>
      <c r="J53" s="3"/>
      <c r="K53" s="3"/>
    </row>
    <row r="54" spans="1:11">
      <c r="A54" s="3"/>
      <c r="B54" s="3"/>
      <c r="C54" s="3"/>
      <c r="D54" s="3"/>
      <c r="E54" s="3"/>
      <c r="F54" s="3"/>
      <c r="G54" s="3"/>
      <c r="H54" s="3"/>
      <c r="I54" s="3"/>
      <c r="J54" s="3"/>
      <c r="K54" s="3"/>
    </row>
    <row r="55" spans="1:11">
      <c r="A55" s="3"/>
      <c r="B55" s="3"/>
      <c r="C55" s="3"/>
      <c r="D55" s="3"/>
      <c r="E55" s="3"/>
      <c r="F55" s="3"/>
      <c r="G55" s="3"/>
      <c r="H55" s="3"/>
      <c r="I55" s="3"/>
      <c r="J55" s="3"/>
      <c r="K55" s="3"/>
    </row>
    <row r="56" spans="1:11">
      <c r="A56" s="3"/>
      <c r="B56" s="3"/>
      <c r="C56" s="3"/>
      <c r="D56" s="3"/>
      <c r="E56" s="3"/>
      <c r="F56" s="3"/>
      <c r="G56" s="3"/>
      <c r="H56" s="3"/>
      <c r="I56" s="3"/>
      <c r="J56" s="3"/>
      <c r="K56" s="3"/>
    </row>
    <row r="57" spans="1:11">
      <c r="A57" s="3"/>
      <c r="B57" s="3"/>
      <c r="C57" s="3"/>
      <c r="D57" s="3"/>
      <c r="E57" s="3"/>
      <c r="F57" s="3"/>
      <c r="G57" s="3"/>
      <c r="H57" s="3"/>
      <c r="I57" s="3"/>
      <c r="J57" s="3"/>
      <c r="K57" s="3"/>
    </row>
    <row r="58" spans="1:11">
      <c r="A58" s="3"/>
      <c r="B58" s="3"/>
      <c r="C58" s="3"/>
      <c r="D58" s="3"/>
      <c r="E58" s="3"/>
      <c r="F58" s="3"/>
      <c r="G58" s="3"/>
      <c r="H58" s="3"/>
      <c r="I58" s="3"/>
      <c r="J58" s="3"/>
      <c r="K58" s="3"/>
    </row>
    <row r="59" spans="1:11">
      <c r="A59" s="3"/>
      <c r="B59" s="3"/>
      <c r="C59" s="3"/>
      <c r="D59" s="3"/>
      <c r="E59" s="3"/>
      <c r="F59" s="3"/>
      <c r="G59" s="3"/>
      <c r="H59" s="3"/>
      <c r="I59" s="3"/>
      <c r="J59" s="3"/>
      <c r="K59" s="3"/>
    </row>
  </sheetData>
  <phoneticPr fontId="6"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yangwenbo</dc:creator>
  <cp:lastModifiedBy>861508902@qq.com</cp:lastModifiedBy>
  <dcterms:created xsi:type="dcterms:W3CDTF">2026-01-27T11:44:00Z</dcterms:created>
  <dcterms:modified xsi:type="dcterms:W3CDTF">2026-03-10T08:44:11Z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5D50F9A24994BA2430E376698B40E2B6_41</vt:lpwstr>
  </property>
  <property fmtid="{D5CDD505-2E9C-101B-9397-08002B2CF9AE}" pid="3" name="KSOProductBuildVer">
    <vt:lpwstr>2052-6.4.0.8550</vt:lpwstr>
  </property>
</Properties>
</file>